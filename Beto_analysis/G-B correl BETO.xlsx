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odr11\My Documents\"/>
    </mc:Choice>
  </mc:AlternateContent>
  <xr:revisionPtr revIDLastSave="0" documentId="13_ncr:9_{92DCE338-6586-45FE-83D3-DA2081274271}" xr6:coauthVersionLast="47" xr6:coauthVersionMax="47" xr10:uidLastSave="{00000000-0000-0000-0000-000000000000}"/>
  <bookViews>
    <workbookView xWindow="-110" yWindow="-110" windowWidth="19420" windowHeight="10300" xr2:uid="{9D301C09-837C-4F70-89AC-916FCB7DF84F}"/>
  </bookViews>
  <sheets>
    <sheet name="G-B correl BETO" sheetId="1" r:id="rId1"/>
    <sheet name="G-B NEW" sheetId="2" r:id="rId2"/>
    <sheet name="Detrend" sheetId="3" r:id="rId3"/>
  </sheets>
  <definedNames>
    <definedName name="_xlnm._FilterDatabase" localSheetId="2" hidden="1">Detrend!$G$1:$H$1</definedName>
    <definedName name="_xlnm._FilterDatabase" localSheetId="0" hidden="1">'G-B correl BETO'!$E$1:$E$1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1" i="3" l="1" a="1"/>
  <c r="I421" i="3" s="1"/>
  <c r="J421" i="3" s="1"/>
  <c r="C421" i="3" a="1"/>
  <c r="C421" i="3" s="1"/>
  <c r="D421" i="3" s="1"/>
  <c r="I420" i="3" a="1"/>
  <c r="I420" i="3" s="1"/>
  <c r="J420" i="3" s="1"/>
  <c r="C420" i="3" a="1"/>
  <c r="C420" i="3" s="1"/>
  <c r="D420" i="3" s="1"/>
  <c r="I419" i="3" a="1"/>
  <c r="I419" i="3" s="1"/>
  <c r="J419" i="3" s="1"/>
  <c r="C419" i="3"/>
  <c r="D419" i="3" s="1"/>
  <c r="C419" i="3" a="1"/>
  <c r="I418" i="3" a="1"/>
  <c r="I418" i="3" s="1"/>
  <c r="J418" i="3" s="1"/>
  <c r="C418" i="3"/>
  <c r="D418" i="3" s="1"/>
  <c r="C418" i="3" a="1"/>
  <c r="I417" i="3" a="1"/>
  <c r="I417" i="3" s="1"/>
  <c r="J417" i="3" s="1"/>
  <c r="C417" i="3"/>
  <c r="D417" i="3" s="1"/>
  <c r="C417" i="3" a="1"/>
  <c r="I416" i="3" a="1"/>
  <c r="I416" i="3" s="1"/>
  <c r="J416" i="3" s="1"/>
  <c r="C416" i="3" a="1"/>
  <c r="C416" i="3" s="1"/>
  <c r="D416" i="3" s="1"/>
  <c r="I415" i="3" a="1"/>
  <c r="I415" i="3" s="1"/>
  <c r="J415" i="3" s="1"/>
  <c r="C415" i="3" a="1"/>
  <c r="C415" i="3" s="1"/>
  <c r="D415" i="3" s="1"/>
  <c r="I414" i="3" a="1"/>
  <c r="I414" i="3" s="1"/>
  <c r="J414" i="3" s="1"/>
  <c r="D414" i="3"/>
  <c r="C414" i="3" a="1"/>
  <c r="C414" i="3" s="1"/>
  <c r="I413" i="3" a="1"/>
  <c r="I413" i="3" s="1"/>
  <c r="J413" i="3" s="1"/>
  <c r="C413" i="3" a="1"/>
  <c r="C413" i="3" s="1"/>
  <c r="D413" i="3" s="1"/>
  <c r="I412" i="3" a="1"/>
  <c r="I412" i="3" s="1"/>
  <c r="J412" i="3" s="1"/>
  <c r="D412" i="3"/>
  <c r="C412" i="3" a="1"/>
  <c r="C412" i="3" s="1"/>
  <c r="I411" i="3" a="1"/>
  <c r="I411" i="3" s="1"/>
  <c r="J411" i="3" s="1"/>
  <c r="C411" i="3"/>
  <c r="D411" i="3" s="1"/>
  <c r="C411" i="3" a="1"/>
  <c r="I410" i="3" a="1"/>
  <c r="I410" i="3" s="1"/>
  <c r="J410" i="3" s="1"/>
  <c r="D410" i="3"/>
  <c r="C410" i="3"/>
  <c r="C410" i="3" a="1"/>
  <c r="I409" i="3" a="1"/>
  <c r="I409" i="3" s="1"/>
  <c r="J409" i="3" s="1"/>
  <c r="C409" i="3"/>
  <c r="D409" i="3" s="1"/>
  <c r="C409" i="3" a="1"/>
  <c r="I408" i="3" a="1"/>
  <c r="I408" i="3" s="1"/>
  <c r="J408" i="3" s="1"/>
  <c r="C408" i="3" a="1"/>
  <c r="C408" i="3" s="1"/>
  <c r="D408" i="3" s="1"/>
  <c r="I407" i="3" a="1"/>
  <c r="I407" i="3" s="1"/>
  <c r="J407" i="3" s="1"/>
  <c r="C407" i="3"/>
  <c r="D407" i="3" s="1"/>
  <c r="C407" i="3" a="1"/>
  <c r="I406" i="3" a="1"/>
  <c r="I406" i="3" s="1"/>
  <c r="J406" i="3" s="1"/>
  <c r="C406" i="3" a="1"/>
  <c r="C406" i="3" s="1"/>
  <c r="D406" i="3" s="1"/>
  <c r="I405" i="3" a="1"/>
  <c r="I405" i="3" s="1"/>
  <c r="J405" i="3" s="1"/>
  <c r="C405" i="3" a="1"/>
  <c r="C405" i="3" s="1"/>
  <c r="D405" i="3" s="1"/>
  <c r="I404" i="3" a="1"/>
  <c r="I404" i="3" s="1"/>
  <c r="J404" i="3" s="1"/>
  <c r="C404" i="3" a="1"/>
  <c r="C404" i="3" s="1"/>
  <c r="D404" i="3" s="1"/>
  <c r="I403" i="3" a="1"/>
  <c r="I403" i="3" s="1"/>
  <c r="J403" i="3" s="1"/>
  <c r="C403" i="3"/>
  <c r="D403" i="3" s="1"/>
  <c r="C403" i="3" a="1"/>
  <c r="I402" i="3" a="1"/>
  <c r="I402" i="3" s="1"/>
  <c r="J402" i="3" s="1"/>
  <c r="D402" i="3"/>
  <c r="C402" i="3"/>
  <c r="C402" i="3" a="1"/>
  <c r="I401" i="3" a="1"/>
  <c r="I401" i="3" s="1"/>
  <c r="J401" i="3" s="1"/>
  <c r="C401" i="3"/>
  <c r="D401" i="3" s="1"/>
  <c r="C401" i="3" a="1"/>
  <c r="I400" i="3" a="1"/>
  <c r="I400" i="3" s="1"/>
  <c r="J400" i="3" s="1"/>
  <c r="C400" i="3" a="1"/>
  <c r="C400" i="3" s="1"/>
  <c r="D400" i="3" s="1"/>
  <c r="I399" i="3" a="1"/>
  <c r="I399" i="3" s="1"/>
  <c r="J399" i="3" s="1"/>
  <c r="C399" i="3"/>
  <c r="D399" i="3" s="1"/>
  <c r="C399" i="3" a="1"/>
  <c r="I398" i="3" a="1"/>
  <c r="I398" i="3" s="1"/>
  <c r="J398" i="3" s="1"/>
  <c r="D398" i="3"/>
  <c r="C398" i="3" a="1"/>
  <c r="C398" i="3" s="1"/>
  <c r="I397" i="3" a="1"/>
  <c r="I397" i="3" s="1"/>
  <c r="J397" i="3" s="1"/>
  <c r="C397" i="3" a="1"/>
  <c r="C397" i="3" s="1"/>
  <c r="D397" i="3" s="1"/>
  <c r="I396" i="3" a="1"/>
  <c r="I396" i="3" s="1"/>
  <c r="J396" i="3" s="1"/>
  <c r="C396" i="3" a="1"/>
  <c r="C396" i="3" s="1"/>
  <c r="D396" i="3" s="1"/>
  <c r="I395" i="3" a="1"/>
  <c r="I395" i="3" s="1"/>
  <c r="J395" i="3" s="1"/>
  <c r="C395" i="3"/>
  <c r="D395" i="3" s="1"/>
  <c r="C395" i="3" a="1"/>
  <c r="I394" i="3" a="1"/>
  <c r="I394" i="3" s="1"/>
  <c r="J394" i="3" s="1"/>
  <c r="D394" i="3"/>
  <c r="C394" i="3"/>
  <c r="C394" i="3" a="1"/>
  <c r="I393" i="3" a="1"/>
  <c r="I393" i="3" s="1"/>
  <c r="J393" i="3" s="1"/>
  <c r="C393" i="3"/>
  <c r="D393" i="3" s="1"/>
  <c r="C393" i="3" a="1"/>
  <c r="I392" i="3" a="1"/>
  <c r="I392" i="3" s="1"/>
  <c r="J392" i="3" s="1"/>
  <c r="C392" i="3" a="1"/>
  <c r="C392" i="3" s="1"/>
  <c r="D392" i="3" s="1"/>
  <c r="I391" i="3" a="1"/>
  <c r="I391" i="3" s="1"/>
  <c r="J391" i="3" s="1"/>
  <c r="C391" i="3"/>
  <c r="D391" i="3" s="1"/>
  <c r="C391" i="3" a="1"/>
  <c r="I390" i="3" a="1"/>
  <c r="I390" i="3" s="1"/>
  <c r="J390" i="3" s="1"/>
  <c r="D390" i="3"/>
  <c r="C390" i="3" a="1"/>
  <c r="C390" i="3" s="1"/>
  <c r="I389" i="3" a="1"/>
  <c r="I389" i="3" s="1"/>
  <c r="J389" i="3" s="1"/>
  <c r="C389" i="3" a="1"/>
  <c r="C389" i="3" s="1"/>
  <c r="D389" i="3" s="1"/>
  <c r="I388" i="3" a="1"/>
  <c r="I388" i="3" s="1"/>
  <c r="J388" i="3" s="1"/>
  <c r="D388" i="3"/>
  <c r="C388" i="3" a="1"/>
  <c r="C388" i="3" s="1"/>
  <c r="I387" i="3" a="1"/>
  <c r="I387" i="3" s="1"/>
  <c r="J387" i="3" s="1"/>
  <c r="C387" i="3"/>
  <c r="D387" i="3" s="1"/>
  <c r="C387" i="3" a="1"/>
  <c r="I386" i="3" a="1"/>
  <c r="I386" i="3" s="1"/>
  <c r="J386" i="3" s="1"/>
  <c r="D386" i="3"/>
  <c r="C386" i="3"/>
  <c r="C386" i="3" a="1"/>
  <c r="I385" i="3" a="1"/>
  <c r="I385" i="3" s="1"/>
  <c r="J385" i="3" s="1"/>
  <c r="C385" i="3"/>
  <c r="D385" i="3" s="1"/>
  <c r="C385" i="3" a="1"/>
  <c r="I384" i="3" a="1"/>
  <c r="I384" i="3" s="1"/>
  <c r="J384" i="3" s="1"/>
  <c r="C384" i="3" a="1"/>
  <c r="C384" i="3" s="1"/>
  <c r="D384" i="3" s="1"/>
  <c r="I383" i="3" a="1"/>
  <c r="I383" i="3" s="1"/>
  <c r="J383" i="3" s="1"/>
  <c r="C383" i="3"/>
  <c r="D383" i="3" s="1"/>
  <c r="C383" i="3" a="1"/>
  <c r="I382" i="3" a="1"/>
  <c r="I382" i="3" s="1"/>
  <c r="J382" i="3" s="1"/>
  <c r="C382" i="3" a="1"/>
  <c r="C382" i="3" s="1"/>
  <c r="D382" i="3" s="1"/>
  <c r="I381" i="3" a="1"/>
  <c r="I381" i="3" s="1"/>
  <c r="J381" i="3" s="1"/>
  <c r="C381" i="3" a="1"/>
  <c r="C381" i="3" s="1"/>
  <c r="D381" i="3" s="1"/>
  <c r="I380" i="3" a="1"/>
  <c r="I380" i="3" s="1"/>
  <c r="J380" i="3" s="1"/>
  <c r="C380" i="3" a="1"/>
  <c r="C380" i="3" s="1"/>
  <c r="D380" i="3" s="1"/>
  <c r="I379" i="3" a="1"/>
  <c r="I379" i="3" s="1"/>
  <c r="J379" i="3" s="1"/>
  <c r="C379" i="3"/>
  <c r="D379" i="3" s="1"/>
  <c r="C379" i="3" a="1"/>
  <c r="I378" i="3" a="1"/>
  <c r="I378" i="3" s="1"/>
  <c r="J378" i="3" s="1"/>
  <c r="D378" i="3"/>
  <c r="C378" i="3"/>
  <c r="C378" i="3" a="1"/>
  <c r="I377" i="3" a="1"/>
  <c r="I377" i="3" s="1"/>
  <c r="J377" i="3" s="1"/>
  <c r="C377" i="3"/>
  <c r="D377" i="3" s="1"/>
  <c r="C377" i="3" a="1"/>
  <c r="I376" i="3" a="1"/>
  <c r="I376" i="3" s="1"/>
  <c r="J376" i="3" s="1"/>
  <c r="C376" i="3" a="1"/>
  <c r="C376" i="3" s="1"/>
  <c r="D376" i="3" s="1"/>
  <c r="I375" i="3" a="1"/>
  <c r="I375" i="3" s="1"/>
  <c r="J375" i="3" s="1"/>
  <c r="C375" i="3"/>
  <c r="D375" i="3" s="1"/>
  <c r="C375" i="3" a="1"/>
  <c r="I374" i="3" a="1"/>
  <c r="I374" i="3" s="1"/>
  <c r="J374" i="3" s="1"/>
  <c r="D374" i="3"/>
  <c r="C374" i="3" a="1"/>
  <c r="C374" i="3" s="1"/>
  <c r="I373" i="3" a="1"/>
  <c r="I373" i="3" s="1"/>
  <c r="J373" i="3" s="1"/>
  <c r="C373" i="3" a="1"/>
  <c r="C373" i="3" s="1"/>
  <c r="D373" i="3" s="1"/>
  <c r="I372" i="3" a="1"/>
  <c r="I372" i="3" s="1"/>
  <c r="J372" i="3" s="1"/>
  <c r="D372" i="3"/>
  <c r="C372" i="3" a="1"/>
  <c r="C372" i="3" s="1"/>
  <c r="I371" i="3" a="1"/>
  <c r="I371" i="3" s="1"/>
  <c r="J371" i="3" s="1"/>
  <c r="C371" i="3"/>
  <c r="D371" i="3" s="1"/>
  <c r="C371" i="3" a="1"/>
  <c r="I370" i="3" a="1"/>
  <c r="I370" i="3" s="1"/>
  <c r="J370" i="3" s="1"/>
  <c r="D370" i="3"/>
  <c r="C370" i="3"/>
  <c r="C370" i="3" a="1"/>
  <c r="I369" i="3" a="1"/>
  <c r="I369" i="3" s="1"/>
  <c r="J369" i="3" s="1"/>
  <c r="C369" i="3"/>
  <c r="D369" i="3" s="1"/>
  <c r="C369" i="3" a="1"/>
  <c r="I368" i="3" a="1"/>
  <c r="I368" i="3" s="1"/>
  <c r="J368" i="3" s="1"/>
  <c r="C368" i="3" a="1"/>
  <c r="C368" i="3" s="1"/>
  <c r="D368" i="3" s="1"/>
  <c r="I367" i="3" a="1"/>
  <c r="I367" i="3" s="1"/>
  <c r="J367" i="3" s="1"/>
  <c r="C367" i="3"/>
  <c r="D367" i="3" s="1"/>
  <c r="C367" i="3" a="1"/>
  <c r="I366" i="3" a="1"/>
  <c r="I366" i="3" s="1"/>
  <c r="J366" i="3" s="1"/>
  <c r="C366" i="3" a="1"/>
  <c r="C366" i="3" s="1"/>
  <c r="D366" i="3" s="1"/>
  <c r="I365" i="3" a="1"/>
  <c r="I365" i="3" s="1"/>
  <c r="J365" i="3" s="1"/>
  <c r="C365" i="3" a="1"/>
  <c r="C365" i="3" s="1"/>
  <c r="D365" i="3" s="1"/>
  <c r="I364" i="3" a="1"/>
  <c r="I364" i="3" s="1"/>
  <c r="J364" i="3" s="1"/>
  <c r="D364" i="3"/>
  <c r="C364" i="3" a="1"/>
  <c r="C364" i="3" s="1"/>
  <c r="I363" i="3" a="1"/>
  <c r="I363" i="3" s="1"/>
  <c r="J363" i="3" s="1"/>
  <c r="C363" i="3"/>
  <c r="D363" i="3" s="1"/>
  <c r="C363" i="3" a="1"/>
  <c r="I362" i="3" a="1"/>
  <c r="I362" i="3" s="1"/>
  <c r="J362" i="3" s="1"/>
  <c r="C362" i="3"/>
  <c r="D362" i="3" s="1"/>
  <c r="C362" i="3" a="1"/>
  <c r="I361" i="3" a="1"/>
  <c r="I361" i="3" s="1"/>
  <c r="J361" i="3" s="1"/>
  <c r="C361" i="3"/>
  <c r="D361" i="3" s="1"/>
  <c r="C361" i="3" a="1"/>
  <c r="I360" i="3" a="1"/>
  <c r="I360" i="3" s="1"/>
  <c r="J360" i="3" s="1"/>
  <c r="C360" i="3"/>
  <c r="D360" i="3" s="1"/>
  <c r="C360" i="3" a="1"/>
  <c r="I359" i="3" a="1"/>
  <c r="I359" i="3" s="1"/>
  <c r="J359" i="3" s="1"/>
  <c r="C359" i="3" a="1"/>
  <c r="C359" i="3" s="1"/>
  <c r="D359" i="3" s="1"/>
  <c r="I358" i="3" a="1"/>
  <c r="I358" i="3" s="1"/>
  <c r="J358" i="3" s="1"/>
  <c r="C358" i="3" a="1"/>
  <c r="C358" i="3" s="1"/>
  <c r="D358" i="3" s="1"/>
  <c r="I357" i="3" a="1"/>
  <c r="I357" i="3" s="1"/>
  <c r="J357" i="3" s="1"/>
  <c r="C357" i="3" a="1"/>
  <c r="C357" i="3" s="1"/>
  <c r="D357" i="3" s="1"/>
  <c r="I356" i="3" a="1"/>
  <c r="I356" i="3" s="1"/>
  <c r="J356" i="3" s="1"/>
  <c r="C356" i="3" a="1"/>
  <c r="C356" i="3" s="1"/>
  <c r="D356" i="3" s="1"/>
  <c r="I355" i="3" a="1"/>
  <c r="I355" i="3" s="1"/>
  <c r="J355" i="3" s="1"/>
  <c r="C355" i="3" a="1"/>
  <c r="C355" i="3" s="1"/>
  <c r="D355" i="3" s="1"/>
  <c r="I354" i="3" a="1"/>
  <c r="I354" i="3" s="1"/>
  <c r="J354" i="3" s="1"/>
  <c r="C354" i="3"/>
  <c r="D354" i="3" s="1"/>
  <c r="C354" i="3" a="1"/>
  <c r="I353" i="3" a="1"/>
  <c r="I353" i="3" s="1"/>
  <c r="J353" i="3" s="1"/>
  <c r="D353" i="3"/>
  <c r="C353" i="3"/>
  <c r="C353" i="3" a="1"/>
  <c r="I352" i="3" a="1"/>
  <c r="I352" i="3" s="1"/>
  <c r="J352" i="3" s="1"/>
  <c r="C352" i="3"/>
  <c r="D352" i="3" s="1"/>
  <c r="C352" i="3" a="1"/>
  <c r="I351" i="3" a="1"/>
  <c r="I351" i="3" s="1"/>
  <c r="J351" i="3" s="1"/>
  <c r="C351" i="3" a="1"/>
  <c r="C351" i="3" s="1"/>
  <c r="D351" i="3" s="1"/>
  <c r="I350" i="3" a="1"/>
  <c r="I350" i="3" s="1"/>
  <c r="J350" i="3" s="1"/>
  <c r="C350" i="3"/>
  <c r="D350" i="3" s="1"/>
  <c r="C350" i="3" a="1"/>
  <c r="I349" i="3" a="1"/>
  <c r="I349" i="3" s="1"/>
  <c r="J349" i="3" s="1"/>
  <c r="C349" i="3" a="1"/>
  <c r="C349" i="3" s="1"/>
  <c r="D349" i="3" s="1"/>
  <c r="I348" i="3" a="1"/>
  <c r="I348" i="3" s="1"/>
  <c r="J348" i="3" s="1"/>
  <c r="D348" i="3"/>
  <c r="C348" i="3" a="1"/>
  <c r="C348" i="3" s="1"/>
  <c r="I347" i="3" a="1"/>
  <c r="I347" i="3" s="1"/>
  <c r="J347" i="3" s="1"/>
  <c r="C347" i="3"/>
  <c r="D347" i="3" s="1"/>
  <c r="C347" i="3" a="1"/>
  <c r="I346" i="3" a="1"/>
  <c r="I346" i="3" s="1"/>
  <c r="J346" i="3" s="1"/>
  <c r="C346" i="3"/>
  <c r="D346" i="3" s="1"/>
  <c r="C346" i="3" a="1"/>
  <c r="I345" i="3" a="1"/>
  <c r="I345" i="3" s="1"/>
  <c r="J345" i="3" s="1"/>
  <c r="C345" i="3"/>
  <c r="D345" i="3" s="1"/>
  <c r="C345" i="3" a="1"/>
  <c r="I344" i="3" a="1"/>
  <c r="I344" i="3" s="1"/>
  <c r="J344" i="3" s="1"/>
  <c r="C344" i="3" a="1"/>
  <c r="C344" i="3" s="1"/>
  <c r="D344" i="3" s="1"/>
  <c r="I343" i="3" a="1"/>
  <c r="I343" i="3" s="1"/>
  <c r="J343" i="3" s="1"/>
  <c r="C343" i="3" a="1"/>
  <c r="C343" i="3" s="1"/>
  <c r="D343" i="3" s="1"/>
  <c r="I342" i="3" a="1"/>
  <c r="I342" i="3" s="1"/>
  <c r="J342" i="3" s="1"/>
  <c r="C342" i="3" a="1"/>
  <c r="C342" i="3" s="1"/>
  <c r="D342" i="3" s="1"/>
  <c r="I341" i="3" a="1"/>
  <c r="I341" i="3" s="1"/>
  <c r="J341" i="3" s="1"/>
  <c r="D341" i="3"/>
  <c r="C341" i="3" a="1"/>
  <c r="C341" i="3" s="1"/>
  <c r="I340" i="3" a="1"/>
  <c r="I340" i="3" s="1"/>
  <c r="J340" i="3" s="1"/>
  <c r="D340" i="3"/>
  <c r="C340" i="3" a="1"/>
  <c r="C340" i="3" s="1"/>
  <c r="I339" i="3" a="1"/>
  <c r="I339" i="3" s="1"/>
  <c r="J339" i="3" s="1"/>
  <c r="C339" i="3"/>
  <c r="D339" i="3" s="1"/>
  <c r="C339" i="3" a="1"/>
  <c r="I338" i="3" a="1"/>
  <c r="I338" i="3" s="1"/>
  <c r="J338" i="3" s="1"/>
  <c r="D338" i="3"/>
  <c r="C338" i="3"/>
  <c r="C338" i="3" a="1"/>
  <c r="I337" i="3" a="1"/>
  <c r="I337" i="3" s="1"/>
  <c r="J337" i="3" s="1"/>
  <c r="D337" i="3"/>
  <c r="C337" i="3"/>
  <c r="C337" i="3" a="1"/>
  <c r="J336" i="3"/>
  <c r="I336" i="3" a="1"/>
  <c r="I336" i="3" s="1"/>
  <c r="C336" i="3"/>
  <c r="D336" i="3" s="1"/>
  <c r="C336" i="3" a="1"/>
  <c r="I335" i="3" a="1"/>
  <c r="I335" i="3" s="1"/>
  <c r="J335" i="3" s="1"/>
  <c r="C335" i="3" a="1"/>
  <c r="C335" i="3" s="1"/>
  <c r="D335" i="3" s="1"/>
  <c r="J334" i="3"/>
  <c r="I334" i="3" a="1"/>
  <c r="I334" i="3" s="1"/>
  <c r="C334" i="3"/>
  <c r="D334" i="3" s="1"/>
  <c r="C334" i="3" a="1"/>
  <c r="I333" i="3" a="1"/>
  <c r="I333" i="3" s="1"/>
  <c r="J333" i="3" s="1"/>
  <c r="C333" i="3" a="1"/>
  <c r="C333" i="3" s="1"/>
  <c r="D333" i="3" s="1"/>
  <c r="J332" i="3"/>
  <c r="I332" i="3" a="1"/>
  <c r="I332" i="3" s="1"/>
  <c r="D332" i="3"/>
  <c r="C332" i="3"/>
  <c r="C332" i="3" a="1"/>
  <c r="I331" i="3" a="1"/>
  <c r="I331" i="3" s="1"/>
  <c r="J331" i="3" s="1"/>
  <c r="C331" i="3" a="1"/>
  <c r="C331" i="3" s="1"/>
  <c r="D331" i="3" s="1"/>
  <c r="J330" i="3"/>
  <c r="I330" i="3" a="1"/>
  <c r="I330" i="3" s="1"/>
  <c r="C330" i="3"/>
  <c r="D330" i="3" s="1"/>
  <c r="C330" i="3" a="1"/>
  <c r="I329" i="3" a="1"/>
  <c r="I329" i="3" s="1"/>
  <c r="J329" i="3" s="1"/>
  <c r="C329" i="3" a="1"/>
  <c r="C329" i="3" s="1"/>
  <c r="D329" i="3" s="1"/>
  <c r="J328" i="3"/>
  <c r="I328" i="3" a="1"/>
  <c r="I328" i="3" s="1"/>
  <c r="C328" i="3"/>
  <c r="D328" i="3" s="1"/>
  <c r="C328" i="3" a="1"/>
  <c r="J327" i="3"/>
  <c r="I327" i="3" a="1"/>
  <c r="I327" i="3" s="1"/>
  <c r="C327" i="3" a="1"/>
  <c r="C327" i="3" s="1"/>
  <c r="D327" i="3" s="1"/>
  <c r="J326" i="3"/>
  <c r="I326" i="3" a="1"/>
  <c r="I326" i="3" s="1"/>
  <c r="C326" i="3"/>
  <c r="D326" i="3" s="1"/>
  <c r="C326" i="3" a="1"/>
  <c r="I325" i="3" a="1"/>
  <c r="I325" i="3" s="1"/>
  <c r="J325" i="3" s="1"/>
  <c r="C325" i="3" a="1"/>
  <c r="C325" i="3" s="1"/>
  <c r="D325" i="3" s="1"/>
  <c r="J324" i="3"/>
  <c r="I324" i="3" a="1"/>
  <c r="I324" i="3" s="1"/>
  <c r="D324" i="3"/>
  <c r="C324" i="3"/>
  <c r="C324" i="3" a="1"/>
  <c r="I323" i="3" a="1"/>
  <c r="I323" i="3" s="1"/>
  <c r="J323" i="3" s="1"/>
  <c r="D323" i="3"/>
  <c r="C323" i="3"/>
  <c r="C323" i="3" a="1"/>
  <c r="J322" i="3"/>
  <c r="I322" i="3" a="1"/>
  <c r="I322" i="3" s="1"/>
  <c r="C322" i="3"/>
  <c r="D322" i="3" s="1"/>
  <c r="C322" i="3" a="1"/>
  <c r="I321" i="3" a="1"/>
  <c r="I321" i="3" s="1"/>
  <c r="J321" i="3" s="1"/>
  <c r="C321" i="3" a="1"/>
  <c r="C321" i="3" s="1"/>
  <c r="D321" i="3" s="1"/>
  <c r="J320" i="3"/>
  <c r="I320" i="3" a="1"/>
  <c r="I320" i="3" s="1"/>
  <c r="C320" i="3"/>
  <c r="D320" i="3" s="1"/>
  <c r="C320" i="3" a="1"/>
  <c r="J319" i="3"/>
  <c r="I319" i="3" a="1"/>
  <c r="I319" i="3" s="1"/>
  <c r="C319" i="3" a="1"/>
  <c r="C319" i="3" s="1"/>
  <c r="D319" i="3" s="1"/>
  <c r="J318" i="3"/>
  <c r="I318" i="3" a="1"/>
  <c r="I318" i="3" s="1"/>
  <c r="C318" i="3"/>
  <c r="D318" i="3" s="1"/>
  <c r="C318" i="3" a="1"/>
  <c r="I317" i="3" a="1"/>
  <c r="I317" i="3" s="1"/>
  <c r="J317" i="3" s="1"/>
  <c r="C317" i="3" a="1"/>
  <c r="C317" i="3" s="1"/>
  <c r="D317" i="3" s="1"/>
  <c r="J316" i="3"/>
  <c r="I316" i="3" a="1"/>
  <c r="I316" i="3" s="1"/>
  <c r="D316" i="3"/>
  <c r="C316" i="3"/>
  <c r="C316" i="3" a="1"/>
  <c r="I315" i="3" a="1"/>
  <c r="I315" i="3" s="1"/>
  <c r="J315" i="3" s="1"/>
  <c r="D315" i="3"/>
  <c r="C315" i="3"/>
  <c r="C315" i="3" a="1"/>
  <c r="J314" i="3"/>
  <c r="I314" i="3" a="1"/>
  <c r="I314" i="3" s="1"/>
  <c r="C314" i="3"/>
  <c r="D314" i="3" s="1"/>
  <c r="C314" i="3" a="1"/>
  <c r="I313" i="3" a="1"/>
  <c r="I313" i="3" s="1"/>
  <c r="J313" i="3" s="1"/>
  <c r="C313" i="3" a="1"/>
  <c r="C313" i="3" s="1"/>
  <c r="D313" i="3" s="1"/>
  <c r="J312" i="3"/>
  <c r="I312" i="3" a="1"/>
  <c r="I312" i="3" s="1"/>
  <c r="C312" i="3"/>
  <c r="D312" i="3" s="1"/>
  <c r="C312" i="3" a="1"/>
  <c r="J311" i="3"/>
  <c r="I311" i="3" a="1"/>
  <c r="I311" i="3" s="1"/>
  <c r="D311" i="3"/>
  <c r="C311" i="3" a="1"/>
  <c r="C311" i="3" s="1"/>
  <c r="J310" i="3"/>
  <c r="I310" i="3" a="1"/>
  <c r="I310" i="3" s="1"/>
  <c r="C310" i="3"/>
  <c r="D310" i="3" s="1"/>
  <c r="C310" i="3" a="1"/>
  <c r="I309" i="3" a="1"/>
  <c r="I309" i="3" s="1"/>
  <c r="J309" i="3" s="1"/>
  <c r="C309" i="3" a="1"/>
  <c r="C309" i="3" s="1"/>
  <c r="D309" i="3" s="1"/>
  <c r="J308" i="3"/>
  <c r="I308" i="3" a="1"/>
  <c r="I308" i="3" s="1"/>
  <c r="D308" i="3"/>
  <c r="C308" i="3"/>
  <c r="C308" i="3" a="1"/>
  <c r="I307" i="3" a="1"/>
  <c r="I307" i="3" s="1"/>
  <c r="J307" i="3" s="1"/>
  <c r="D307" i="3"/>
  <c r="C307" i="3"/>
  <c r="C307" i="3" a="1"/>
  <c r="J306" i="3"/>
  <c r="I306" i="3" a="1"/>
  <c r="I306" i="3" s="1"/>
  <c r="C306" i="3"/>
  <c r="D306" i="3" s="1"/>
  <c r="C306" i="3" a="1"/>
  <c r="I305" i="3" a="1"/>
  <c r="I305" i="3" s="1"/>
  <c r="J305" i="3" s="1"/>
  <c r="C305" i="3" a="1"/>
  <c r="C305" i="3" s="1"/>
  <c r="D305" i="3" s="1"/>
  <c r="J304" i="3"/>
  <c r="I304" i="3" a="1"/>
  <c r="I304" i="3" s="1"/>
  <c r="C304" i="3"/>
  <c r="D304" i="3" s="1"/>
  <c r="C304" i="3" a="1"/>
  <c r="J303" i="3"/>
  <c r="I303" i="3" a="1"/>
  <c r="I303" i="3" s="1"/>
  <c r="D303" i="3"/>
  <c r="C303" i="3" a="1"/>
  <c r="C303" i="3" s="1"/>
  <c r="I302" i="3" a="1"/>
  <c r="I302" i="3" s="1"/>
  <c r="J302" i="3" s="1"/>
  <c r="C302" i="3"/>
  <c r="D302" i="3" s="1"/>
  <c r="C302" i="3" a="1"/>
  <c r="I301" i="3" a="1"/>
  <c r="I301" i="3" s="1"/>
  <c r="J301" i="3" s="1"/>
  <c r="C301" i="3" a="1"/>
  <c r="C301" i="3" s="1"/>
  <c r="D301" i="3" s="1"/>
  <c r="J300" i="3"/>
  <c r="I300" i="3" a="1"/>
  <c r="I300" i="3" s="1"/>
  <c r="C300" i="3"/>
  <c r="D300" i="3" s="1"/>
  <c r="C300" i="3" a="1"/>
  <c r="I299" i="3" a="1"/>
  <c r="I299" i="3" s="1"/>
  <c r="J299" i="3" s="1"/>
  <c r="C299" i="3" a="1"/>
  <c r="C299" i="3" s="1"/>
  <c r="D299" i="3" s="1"/>
  <c r="J298" i="3"/>
  <c r="I298" i="3" a="1"/>
  <c r="I298" i="3" s="1"/>
  <c r="C298" i="3" a="1"/>
  <c r="C298" i="3" s="1"/>
  <c r="D298" i="3" s="1"/>
  <c r="I297" i="3" a="1"/>
  <c r="I297" i="3" s="1"/>
  <c r="J297" i="3" s="1"/>
  <c r="D297" i="3"/>
  <c r="C297" i="3" a="1"/>
  <c r="C297" i="3" s="1"/>
  <c r="J296" i="3"/>
  <c r="I296" i="3" a="1"/>
  <c r="I296" i="3" s="1"/>
  <c r="C296" i="3"/>
  <c r="D296" i="3" s="1"/>
  <c r="C296" i="3" a="1"/>
  <c r="I295" i="3" a="1"/>
  <c r="I295" i="3" s="1"/>
  <c r="J295" i="3" s="1"/>
  <c r="C295" i="3" a="1"/>
  <c r="C295" i="3" s="1"/>
  <c r="D295" i="3" s="1"/>
  <c r="J294" i="3"/>
  <c r="I294" i="3" a="1"/>
  <c r="I294" i="3" s="1"/>
  <c r="C294" i="3"/>
  <c r="D294" i="3" s="1"/>
  <c r="C294" i="3" a="1"/>
  <c r="I293" i="3" a="1"/>
  <c r="I293" i="3" s="1"/>
  <c r="J293" i="3" s="1"/>
  <c r="C293" i="3" a="1"/>
  <c r="C293" i="3" s="1"/>
  <c r="D293" i="3" s="1"/>
  <c r="I292" i="3" a="1"/>
  <c r="I292" i="3" s="1"/>
  <c r="J292" i="3" s="1"/>
  <c r="C292" i="3" a="1"/>
  <c r="C292" i="3" s="1"/>
  <c r="D292" i="3" s="1"/>
  <c r="I291" i="3" a="1"/>
  <c r="I291" i="3" s="1"/>
  <c r="J291" i="3" s="1"/>
  <c r="C291" i="3"/>
  <c r="D291" i="3" s="1"/>
  <c r="C291" i="3" a="1"/>
  <c r="I290" i="3"/>
  <c r="J290" i="3" s="1"/>
  <c r="I290" i="3" a="1"/>
  <c r="C290" i="3"/>
  <c r="D290" i="3" s="1"/>
  <c r="C290" i="3" a="1"/>
  <c r="I289" i="3" a="1"/>
  <c r="I289" i="3" s="1"/>
  <c r="J289" i="3" s="1"/>
  <c r="C289" i="3" a="1"/>
  <c r="C289" i="3" s="1"/>
  <c r="D289" i="3" s="1"/>
  <c r="I288" i="3" a="1"/>
  <c r="I288" i="3" s="1"/>
  <c r="J288" i="3" s="1"/>
  <c r="C288" i="3" a="1"/>
  <c r="C288" i="3" s="1"/>
  <c r="D288" i="3" s="1"/>
  <c r="I287" i="3" a="1"/>
  <c r="I287" i="3" s="1"/>
  <c r="J287" i="3" s="1"/>
  <c r="C287" i="3"/>
  <c r="D287" i="3" s="1"/>
  <c r="C287" i="3" a="1"/>
  <c r="I286" i="3"/>
  <c r="J286" i="3" s="1"/>
  <c r="I286" i="3" a="1"/>
  <c r="C286" i="3"/>
  <c r="D286" i="3" s="1"/>
  <c r="C286" i="3" a="1"/>
  <c r="I285" i="3" a="1"/>
  <c r="I285" i="3" s="1"/>
  <c r="J285" i="3" s="1"/>
  <c r="C285" i="3" a="1"/>
  <c r="C285" i="3" s="1"/>
  <c r="D285" i="3" s="1"/>
  <c r="I284" i="3" a="1"/>
  <c r="I284" i="3" s="1"/>
  <c r="J284" i="3" s="1"/>
  <c r="C284" i="3" a="1"/>
  <c r="C284" i="3" s="1"/>
  <c r="D284" i="3" s="1"/>
  <c r="I283" i="3" a="1"/>
  <c r="I283" i="3" s="1"/>
  <c r="J283" i="3" s="1"/>
  <c r="C283" i="3"/>
  <c r="D283" i="3" s="1"/>
  <c r="C283" i="3" a="1"/>
  <c r="I282" i="3"/>
  <c r="J282" i="3" s="1"/>
  <c r="I282" i="3" a="1"/>
  <c r="C282" i="3"/>
  <c r="D282" i="3" s="1"/>
  <c r="C282" i="3" a="1"/>
  <c r="I281" i="3" a="1"/>
  <c r="I281" i="3" s="1"/>
  <c r="J281" i="3" s="1"/>
  <c r="C281" i="3" a="1"/>
  <c r="C281" i="3" s="1"/>
  <c r="D281" i="3" s="1"/>
  <c r="I280" i="3" a="1"/>
  <c r="I280" i="3" s="1"/>
  <c r="J280" i="3" s="1"/>
  <c r="C280" i="3" a="1"/>
  <c r="C280" i="3" s="1"/>
  <c r="D280" i="3" s="1"/>
  <c r="I279" i="3" a="1"/>
  <c r="I279" i="3" s="1"/>
  <c r="J279" i="3" s="1"/>
  <c r="C279" i="3"/>
  <c r="D279" i="3" s="1"/>
  <c r="C279" i="3" a="1"/>
  <c r="I278" i="3"/>
  <c r="J278" i="3" s="1"/>
  <c r="I278" i="3" a="1"/>
  <c r="C278" i="3"/>
  <c r="D278" i="3" s="1"/>
  <c r="C278" i="3" a="1"/>
  <c r="I277" i="3" a="1"/>
  <c r="I277" i="3" s="1"/>
  <c r="J277" i="3" s="1"/>
  <c r="C277" i="3" a="1"/>
  <c r="C277" i="3" s="1"/>
  <c r="D277" i="3" s="1"/>
  <c r="I276" i="3" a="1"/>
  <c r="I276" i="3" s="1"/>
  <c r="J276" i="3" s="1"/>
  <c r="C276" i="3" a="1"/>
  <c r="C276" i="3" s="1"/>
  <c r="D276" i="3" s="1"/>
  <c r="I275" i="3" a="1"/>
  <c r="I275" i="3" s="1"/>
  <c r="J275" i="3" s="1"/>
  <c r="C275" i="3"/>
  <c r="D275" i="3" s="1"/>
  <c r="C275" i="3" a="1"/>
  <c r="I274" i="3"/>
  <c r="J274" i="3" s="1"/>
  <c r="I274" i="3" a="1"/>
  <c r="C274" i="3"/>
  <c r="D274" i="3" s="1"/>
  <c r="C274" i="3" a="1"/>
  <c r="I273" i="3" a="1"/>
  <c r="I273" i="3" s="1"/>
  <c r="J273" i="3" s="1"/>
  <c r="C273" i="3" a="1"/>
  <c r="C273" i="3" s="1"/>
  <c r="D273" i="3" s="1"/>
  <c r="I272" i="3" a="1"/>
  <c r="I272" i="3" s="1"/>
  <c r="J272" i="3" s="1"/>
  <c r="C272" i="3" a="1"/>
  <c r="C272" i="3" s="1"/>
  <c r="D272" i="3" s="1"/>
  <c r="I271" i="3" a="1"/>
  <c r="I271" i="3" s="1"/>
  <c r="J271" i="3" s="1"/>
  <c r="C271" i="3"/>
  <c r="D271" i="3" s="1"/>
  <c r="C271" i="3" a="1"/>
  <c r="I270" i="3"/>
  <c r="J270" i="3" s="1"/>
  <c r="I270" i="3" a="1"/>
  <c r="C270" i="3"/>
  <c r="D270" i="3" s="1"/>
  <c r="C270" i="3" a="1"/>
  <c r="I269" i="3" a="1"/>
  <c r="I269" i="3" s="1"/>
  <c r="J269" i="3" s="1"/>
  <c r="C269" i="3" a="1"/>
  <c r="C269" i="3" s="1"/>
  <c r="D269" i="3" s="1"/>
  <c r="I268" i="3" a="1"/>
  <c r="I268" i="3" s="1"/>
  <c r="J268" i="3" s="1"/>
  <c r="C268" i="3" a="1"/>
  <c r="C268" i="3" s="1"/>
  <c r="D268" i="3" s="1"/>
  <c r="I267" i="3" a="1"/>
  <c r="I267" i="3" s="1"/>
  <c r="J267" i="3" s="1"/>
  <c r="C267" i="3"/>
  <c r="D267" i="3" s="1"/>
  <c r="C267" i="3" a="1"/>
  <c r="I266" i="3"/>
  <c r="J266" i="3" s="1"/>
  <c r="I266" i="3" a="1"/>
  <c r="C266" i="3"/>
  <c r="D266" i="3" s="1"/>
  <c r="C266" i="3" a="1"/>
  <c r="I265" i="3" a="1"/>
  <c r="I265" i="3" s="1"/>
  <c r="J265" i="3" s="1"/>
  <c r="C265" i="3" a="1"/>
  <c r="C265" i="3" s="1"/>
  <c r="D265" i="3" s="1"/>
  <c r="I264" i="3" a="1"/>
  <c r="I264" i="3" s="1"/>
  <c r="J264" i="3" s="1"/>
  <c r="C264" i="3" a="1"/>
  <c r="C264" i="3" s="1"/>
  <c r="D264" i="3" s="1"/>
  <c r="I263" i="3" a="1"/>
  <c r="I263" i="3" s="1"/>
  <c r="J263" i="3" s="1"/>
  <c r="C263" i="3"/>
  <c r="D263" i="3" s="1"/>
  <c r="C263" i="3" a="1"/>
  <c r="I262" i="3"/>
  <c r="J262" i="3" s="1"/>
  <c r="I262" i="3" a="1"/>
  <c r="C262" i="3"/>
  <c r="D262" i="3" s="1"/>
  <c r="C262" i="3" a="1"/>
  <c r="I261" i="3" a="1"/>
  <c r="I261" i="3" s="1"/>
  <c r="J261" i="3" s="1"/>
  <c r="C261" i="3"/>
  <c r="D261" i="3" s="1"/>
  <c r="C261" i="3" a="1"/>
  <c r="I260" i="3" a="1"/>
  <c r="I260" i="3" s="1"/>
  <c r="J260" i="3" s="1"/>
  <c r="C260" i="3" a="1"/>
  <c r="C260" i="3" s="1"/>
  <c r="D260" i="3" s="1"/>
  <c r="I259" i="3" a="1"/>
  <c r="I259" i="3" s="1"/>
  <c r="J259" i="3" s="1"/>
  <c r="C259" i="3"/>
  <c r="D259" i="3" s="1"/>
  <c r="C259" i="3" a="1"/>
  <c r="I258" i="3"/>
  <c r="J258" i="3" s="1"/>
  <c r="I258" i="3" a="1"/>
  <c r="C258" i="3"/>
  <c r="D258" i="3" s="1"/>
  <c r="C258" i="3" a="1"/>
  <c r="I257" i="3" a="1"/>
  <c r="I257" i="3" s="1"/>
  <c r="J257" i="3" s="1"/>
  <c r="C257" i="3"/>
  <c r="D257" i="3" s="1"/>
  <c r="C257" i="3" a="1"/>
  <c r="I256" i="3" a="1"/>
  <c r="I256" i="3" s="1"/>
  <c r="J256" i="3" s="1"/>
  <c r="C256" i="3"/>
  <c r="D256" i="3" s="1"/>
  <c r="C256" i="3" a="1"/>
  <c r="I255" i="3" a="1"/>
  <c r="I255" i="3" s="1"/>
  <c r="J255" i="3" s="1"/>
  <c r="C255" i="3"/>
  <c r="D255" i="3" s="1"/>
  <c r="C255" i="3" a="1"/>
  <c r="I254" i="3"/>
  <c r="J254" i="3" s="1"/>
  <c r="I254" i="3" a="1"/>
  <c r="C254" i="3"/>
  <c r="D254" i="3" s="1"/>
  <c r="C254" i="3" a="1"/>
  <c r="I253" i="3" a="1"/>
  <c r="I253" i="3" s="1"/>
  <c r="J253" i="3" s="1"/>
  <c r="C253" i="3"/>
  <c r="D253" i="3" s="1"/>
  <c r="C253" i="3" a="1"/>
  <c r="I252" i="3" a="1"/>
  <c r="I252" i="3" s="1"/>
  <c r="J252" i="3" s="1"/>
  <c r="C252" i="3" a="1"/>
  <c r="C252" i="3" s="1"/>
  <c r="D252" i="3" s="1"/>
  <c r="I251" i="3"/>
  <c r="J251" i="3" s="1"/>
  <c r="I251" i="3" a="1"/>
  <c r="C251" i="3"/>
  <c r="D251" i="3" s="1"/>
  <c r="C251" i="3" a="1"/>
  <c r="I250" i="3" a="1"/>
  <c r="I250" i="3" s="1"/>
  <c r="J250" i="3" s="1"/>
  <c r="C250" i="3"/>
  <c r="D250" i="3" s="1"/>
  <c r="C250" i="3" a="1"/>
  <c r="I249" i="3" a="1"/>
  <c r="I249" i="3" s="1"/>
  <c r="J249" i="3" s="1"/>
  <c r="C249" i="3"/>
  <c r="D249" i="3" s="1"/>
  <c r="C249" i="3" a="1"/>
  <c r="I248" i="3" a="1"/>
  <c r="I248" i="3" s="1"/>
  <c r="J248" i="3" s="1"/>
  <c r="C248" i="3" a="1"/>
  <c r="C248" i="3" s="1"/>
  <c r="D248" i="3" s="1"/>
  <c r="I247" i="3"/>
  <c r="J247" i="3" s="1"/>
  <c r="I247" i="3" a="1"/>
  <c r="C247" i="3" a="1"/>
  <c r="C247" i="3" s="1"/>
  <c r="D247" i="3" s="1"/>
  <c r="I246" i="3"/>
  <c r="J246" i="3" s="1"/>
  <c r="I246" i="3" a="1"/>
  <c r="C246" i="3" a="1"/>
  <c r="C246" i="3" s="1"/>
  <c r="D246" i="3" s="1"/>
  <c r="I245" i="3" a="1"/>
  <c r="I245" i="3" s="1"/>
  <c r="J245" i="3" s="1"/>
  <c r="C245" i="3" a="1"/>
  <c r="C245" i="3" s="1"/>
  <c r="D245" i="3" s="1"/>
  <c r="I244" i="3"/>
  <c r="J244" i="3" s="1"/>
  <c r="I244" i="3" a="1"/>
  <c r="C244" i="3" a="1"/>
  <c r="C244" i="3" s="1"/>
  <c r="D244" i="3" s="1"/>
  <c r="I243" i="3" a="1"/>
  <c r="I243" i="3" s="1"/>
  <c r="J243" i="3" s="1"/>
  <c r="C243" i="3"/>
  <c r="D243" i="3" s="1"/>
  <c r="C243" i="3" a="1"/>
  <c r="I242" i="3" a="1"/>
  <c r="I242" i="3" s="1"/>
  <c r="J242" i="3" s="1"/>
  <c r="C242" i="3" a="1"/>
  <c r="C242" i="3" s="1"/>
  <c r="D242" i="3" s="1"/>
  <c r="I241" i="3" a="1"/>
  <c r="I241" i="3" s="1"/>
  <c r="J241" i="3" s="1"/>
  <c r="C241" i="3"/>
  <c r="D241" i="3" s="1"/>
  <c r="C241" i="3" a="1"/>
  <c r="I240" i="3" a="1"/>
  <c r="I240" i="3" s="1"/>
  <c r="J240" i="3" s="1"/>
  <c r="C240" i="3" a="1"/>
  <c r="C240" i="3" s="1"/>
  <c r="D240" i="3" s="1"/>
  <c r="I239" i="3" a="1"/>
  <c r="I239" i="3" s="1"/>
  <c r="J239" i="3" s="1"/>
  <c r="C239" i="3" a="1"/>
  <c r="C239" i="3" s="1"/>
  <c r="D239" i="3" s="1"/>
  <c r="I238" i="3"/>
  <c r="J238" i="3" s="1"/>
  <c r="I238" i="3" a="1"/>
  <c r="C238" i="3" a="1"/>
  <c r="C238" i="3" s="1"/>
  <c r="D238" i="3" s="1"/>
  <c r="I237" i="3" a="1"/>
  <c r="I237" i="3" s="1"/>
  <c r="J237" i="3" s="1"/>
  <c r="C237" i="3" a="1"/>
  <c r="C237" i="3" s="1"/>
  <c r="D237" i="3" s="1"/>
  <c r="I236" i="3"/>
  <c r="J236" i="3" s="1"/>
  <c r="I236" i="3" a="1"/>
  <c r="C236" i="3" a="1"/>
  <c r="C236" i="3" s="1"/>
  <c r="D236" i="3" s="1"/>
  <c r="I235" i="3" a="1"/>
  <c r="I235" i="3" s="1"/>
  <c r="J235" i="3" s="1"/>
  <c r="C235" i="3"/>
  <c r="D235" i="3" s="1"/>
  <c r="C235" i="3" a="1"/>
  <c r="I234" i="3" a="1"/>
  <c r="I234" i="3" s="1"/>
  <c r="J234" i="3" s="1"/>
  <c r="C234" i="3" a="1"/>
  <c r="C234" i="3" s="1"/>
  <c r="D234" i="3" s="1"/>
  <c r="I233" i="3" a="1"/>
  <c r="I233" i="3" s="1"/>
  <c r="J233" i="3" s="1"/>
  <c r="C233" i="3"/>
  <c r="D233" i="3" s="1"/>
  <c r="C233" i="3" a="1"/>
  <c r="I232" i="3" a="1"/>
  <c r="I232" i="3" s="1"/>
  <c r="J232" i="3" s="1"/>
  <c r="C232" i="3" a="1"/>
  <c r="C232" i="3" s="1"/>
  <c r="D232" i="3" s="1"/>
  <c r="I231" i="3" a="1"/>
  <c r="I231" i="3" s="1"/>
  <c r="J231" i="3" s="1"/>
  <c r="C231" i="3" a="1"/>
  <c r="C231" i="3" s="1"/>
  <c r="D231" i="3" s="1"/>
  <c r="I230" i="3"/>
  <c r="J230" i="3" s="1"/>
  <c r="I230" i="3" a="1"/>
  <c r="C230" i="3" a="1"/>
  <c r="C230" i="3" s="1"/>
  <c r="D230" i="3" s="1"/>
  <c r="I229" i="3" a="1"/>
  <c r="I229" i="3" s="1"/>
  <c r="J229" i="3" s="1"/>
  <c r="C229" i="3" a="1"/>
  <c r="C229" i="3" s="1"/>
  <c r="D229" i="3" s="1"/>
  <c r="I228" i="3"/>
  <c r="J228" i="3" s="1"/>
  <c r="I228" i="3" a="1"/>
  <c r="C228" i="3" a="1"/>
  <c r="C228" i="3" s="1"/>
  <c r="D228" i="3" s="1"/>
  <c r="I227" i="3" a="1"/>
  <c r="I227" i="3" s="1"/>
  <c r="J227" i="3" s="1"/>
  <c r="C227" i="3"/>
  <c r="D227" i="3" s="1"/>
  <c r="C227" i="3" a="1"/>
  <c r="I226" i="3" a="1"/>
  <c r="I226" i="3" s="1"/>
  <c r="J226" i="3" s="1"/>
  <c r="C226" i="3" a="1"/>
  <c r="C226" i="3" s="1"/>
  <c r="D226" i="3" s="1"/>
  <c r="I225" i="3" a="1"/>
  <c r="I225" i="3" s="1"/>
  <c r="J225" i="3" s="1"/>
  <c r="C225" i="3"/>
  <c r="D225" i="3" s="1"/>
  <c r="C225" i="3" a="1"/>
  <c r="I224" i="3" a="1"/>
  <c r="I224" i="3" s="1"/>
  <c r="J224" i="3" s="1"/>
  <c r="C224" i="3" a="1"/>
  <c r="C224" i="3" s="1"/>
  <c r="D224" i="3" s="1"/>
  <c r="I223" i="3" a="1"/>
  <c r="I223" i="3" s="1"/>
  <c r="J223" i="3" s="1"/>
  <c r="C223" i="3" a="1"/>
  <c r="C223" i="3" s="1"/>
  <c r="D223" i="3" s="1"/>
  <c r="I222" i="3"/>
  <c r="J222" i="3" s="1"/>
  <c r="I222" i="3" a="1"/>
  <c r="C222" i="3" a="1"/>
  <c r="C222" i="3" s="1"/>
  <c r="D222" i="3" s="1"/>
  <c r="I221" i="3" a="1"/>
  <c r="I221" i="3" s="1"/>
  <c r="J221" i="3" s="1"/>
  <c r="C221" i="3" a="1"/>
  <c r="C221" i="3" s="1"/>
  <c r="D221" i="3" s="1"/>
  <c r="I220" i="3"/>
  <c r="J220" i="3" s="1"/>
  <c r="I220" i="3" a="1"/>
  <c r="C220" i="3" a="1"/>
  <c r="C220" i="3" s="1"/>
  <c r="D220" i="3" s="1"/>
  <c r="I219" i="3" a="1"/>
  <c r="I219" i="3" s="1"/>
  <c r="J219" i="3" s="1"/>
  <c r="C219" i="3"/>
  <c r="D219" i="3" s="1"/>
  <c r="C219" i="3" a="1"/>
  <c r="I218" i="3" a="1"/>
  <c r="I218" i="3" s="1"/>
  <c r="J218" i="3" s="1"/>
  <c r="C218" i="3" a="1"/>
  <c r="C218" i="3" s="1"/>
  <c r="D218" i="3" s="1"/>
  <c r="I217" i="3" a="1"/>
  <c r="I217" i="3" s="1"/>
  <c r="J217" i="3" s="1"/>
  <c r="C217" i="3"/>
  <c r="D217" i="3" s="1"/>
  <c r="C217" i="3" a="1"/>
  <c r="I216" i="3" a="1"/>
  <c r="I216" i="3" s="1"/>
  <c r="J216" i="3" s="1"/>
  <c r="C216" i="3" a="1"/>
  <c r="C216" i="3" s="1"/>
  <c r="D216" i="3" s="1"/>
  <c r="I215" i="3" a="1"/>
  <c r="I215" i="3" s="1"/>
  <c r="J215" i="3" s="1"/>
  <c r="C215" i="3" a="1"/>
  <c r="C215" i="3" s="1"/>
  <c r="D215" i="3" s="1"/>
  <c r="I214" i="3"/>
  <c r="J214" i="3" s="1"/>
  <c r="I214" i="3" a="1"/>
  <c r="C214" i="3" a="1"/>
  <c r="C214" i="3" s="1"/>
  <c r="D214" i="3" s="1"/>
  <c r="I213" i="3" a="1"/>
  <c r="I213" i="3" s="1"/>
  <c r="J213" i="3" s="1"/>
  <c r="C213" i="3" a="1"/>
  <c r="C213" i="3" s="1"/>
  <c r="D213" i="3" s="1"/>
  <c r="I212" i="3"/>
  <c r="J212" i="3" s="1"/>
  <c r="I212" i="3" a="1"/>
  <c r="C212" i="3" a="1"/>
  <c r="C212" i="3" s="1"/>
  <c r="D212" i="3" s="1"/>
  <c r="I211" i="3" a="1"/>
  <c r="I211" i="3" s="1"/>
  <c r="J211" i="3" s="1"/>
  <c r="C211" i="3"/>
  <c r="D211" i="3" s="1"/>
  <c r="C211" i="3" a="1"/>
  <c r="I210" i="3" a="1"/>
  <c r="I210" i="3" s="1"/>
  <c r="J210" i="3" s="1"/>
  <c r="C210" i="3" a="1"/>
  <c r="C210" i="3" s="1"/>
  <c r="D210" i="3" s="1"/>
  <c r="I209" i="3" a="1"/>
  <c r="I209" i="3" s="1"/>
  <c r="J209" i="3" s="1"/>
  <c r="C209" i="3"/>
  <c r="D209" i="3" s="1"/>
  <c r="C209" i="3" a="1"/>
  <c r="I208" i="3" a="1"/>
  <c r="I208" i="3" s="1"/>
  <c r="J208" i="3" s="1"/>
  <c r="C208" i="3" a="1"/>
  <c r="C208" i="3" s="1"/>
  <c r="D208" i="3" s="1"/>
  <c r="I207" i="3" a="1"/>
  <c r="I207" i="3" s="1"/>
  <c r="J207" i="3" s="1"/>
  <c r="C207" i="3" a="1"/>
  <c r="C207" i="3" s="1"/>
  <c r="D207" i="3" s="1"/>
  <c r="I206" i="3"/>
  <c r="J206" i="3" s="1"/>
  <c r="I206" i="3" a="1"/>
  <c r="C206" i="3" a="1"/>
  <c r="C206" i="3" s="1"/>
  <c r="D206" i="3" s="1"/>
  <c r="I205" i="3" a="1"/>
  <c r="I205" i="3" s="1"/>
  <c r="J205" i="3" s="1"/>
  <c r="C205" i="3" a="1"/>
  <c r="C205" i="3" s="1"/>
  <c r="D205" i="3" s="1"/>
  <c r="I204" i="3"/>
  <c r="J204" i="3" s="1"/>
  <c r="I204" i="3" a="1"/>
  <c r="C204" i="3" a="1"/>
  <c r="C204" i="3" s="1"/>
  <c r="D204" i="3" s="1"/>
  <c r="I203" i="3" a="1"/>
  <c r="I203" i="3" s="1"/>
  <c r="J203" i="3" s="1"/>
  <c r="C203" i="3"/>
  <c r="D203" i="3" s="1"/>
  <c r="C203" i="3" a="1"/>
  <c r="I202" i="3" a="1"/>
  <c r="I202" i="3" s="1"/>
  <c r="J202" i="3" s="1"/>
  <c r="C202" i="3" a="1"/>
  <c r="C202" i="3" s="1"/>
  <c r="D202" i="3" s="1"/>
  <c r="I201" i="3" a="1"/>
  <c r="I201" i="3" s="1"/>
  <c r="J201" i="3" s="1"/>
  <c r="C201" i="3"/>
  <c r="D201" i="3" s="1"/>
  <c r="C201" i="3" a="1"/>
  <c r="I200" i="3" a="1"/>
  <c r="I200" i="3" s="1"/>
  <c r="J200" i="3" s="1"/>
  <c r="C200" i="3" a="1"/>
  <c r="C200" i="3" s="1"/>
  <c r="D200" i="3" s="1"/>
  <c r="I199" i="3" a="1"/>
  <c r="I199" i="3" s="1"/>
  <c r="J199" i="3" s="1"/>
  <c r="C199" i="3" a="1"/>
  <c r="C199" i="3" s="1"/>
  <c r="D199" i="3" s="1"/>
  <c r="I198" i="3"/>
  <c r="J198" i="3" s="1"/>
  <c r="I198" i="3" a="1"/>
  <c r="C198" i="3" a="1"/>
  <c r="C198" i="3" s="1"/>
  <c r="D198" i="3" s="1"/>
  <c r="I197" i="3" a="1"/>
  <c r="I197" i="3" s="1"/>
  <c r="J197" i="3" s="1"/>
  <c r="C197" i="3" a="1"/>
  <c r="C197" i="3" s="1"/>
  <c r="D197" i="3" s="1"/>
  <c r="I196" i="3"/>
  <c r="J196" i="3" s="1"/>
  <c r="I196" i="3" a="1"/>
  <c r="C196" i="3" a="1"/>
  <c r="C196" i="3" s="1"/>
  <c r="D196" i="3" s="1"/>
  <c r="I195" i="3" a="1"/>
  <c r="I195" i="3" s="1"/>
  <c r="J195" i="3" s="1"/>
  <c r="C195" i="3"/>
  <c r="D195" i="3" s="1"/>
  <c r="C195" i="3" a="1"/>
  <c r="I194" i="3" a="1"/>
  <c r="I194" i="3" s="1"/>
  <c r="J194" i="3" s="1"/>
  <c r="C194" i="3" a="1"/>
  <c r="C194" i="3" s="1"/>
  <c r="D194" i="3" s="1"/>
  <c r="I193" i="3" a="1"/>
  <c r="I193" i="3" s="1"/>
  <c r="J193" i="3" s="1"/>
  <c r="C193" i="3"/>
  <c r="D193" i="3" s="1"/>
  <c r="C193" i="3" a="1"/>
  <c r="I192" i="3" a="1"/>
  <c r="I192" i="3" s="1"/>
  <c r="J192" i="3" s="1"/>
  <c r="C192" i="3" a="1"/>
  <c r="C192" i="3" s="1"/>
  <c r="D192" i="3" s="1"/>
  <c r="I191" i="3" a="1"/>
  <c r="I191" i="3" s="1"/>
  <c r="J191" i="3" s="1"/>
  <c r="C191" i="3" a="1"/>
  <c r="C191" i="3" s="1"/>
  <c r="D191" i="3" s="1"/>
  <c r="I190" i="3"/>
  <c r="J190" i="3" s="1"/>
  <c r="I190" i="3" a="1"/>
  <c r="C190" i="3" a="1"/>
  <c r="C190" i="3" s="1"/>
  <c r="D190" i="3" s="1"/>
  <c r="J189" i="3"/>
  <c r="I189" i="3" a="1"/>
  <c r="I189" i="3" s="1"/>
  <c r="C189" i="3" a="1"/>
  <c r="C189" i="3" s="1"/>
  <c r="D189" i="3" s="1"/>
  <c r="I188" i="3"/>
  <c r="J188" i="3" s="1"/>
  <c r="I188" i="3" a="1"/>
  <c r="C188" i="3" a="1"/>
  <c r="C188" i="3" s="1"/>
  <c r="D188" i="3" s="1"/>
  <c r="I187" i="3" a="1"/>
  <c r="I187" i="3" s="1"/>
  <c r="J187" i="3" s="1"/>
  <c r="C187" i="3"/>
  <c r="D187" i="3" s="1"/>
  <c r="C187" i="3" a="1"/>
  <c r="I186" i="3" a="1"/>
  <c r="I186" i="3" s="1"/>
  <c r="J186" i="3" s="1"/>
  <c r="C186" i="3" a="1"/>
  <c r="C186" i="3" s="1"/>
  <c r="D186" i="3" s="1"/>
  <c r="I185" i="3" a="1"/>
  <c r="I185" i="3" s="1"/>
  <c r="J185" i="3" s="1"/>
  <c r="C185" i="3"/>
  <c r="D185" i="3" s="1"/>
  <c r="C185" i="3" a="1"/>
  <c r="I184" i="3" a="1"/>
  <c r="I184" i="3" s="1"/>
  <c r="J184" i="3" s="1"/>
  <c r="C184" i="3" a="1"/>
  <c r="C184" i="3" s="1"/>
  <c r="D184" i="3" s="1"/>
  <c r="I183" i="3" a="1"/>
  <c r="I183" i="3" s="1"/>
  <c r="J183" i="3" s="1"/>
  <c r="C183" i="3" a="1"/>
  <c r="C183" i="3" s="1"/>
  <c r="D183" i="3" s="1"/>
  <c r="I182" i="3"/>
  <c r="J182" i="3" s="1"/>
  <c r="I182" i="3" a="1"/>
  <c r="C182" i="3" a="1"/>
  <c r="C182" i="3" s="1"/>
  <c r="D182" i="3" s="1"/>
  <c r="I181" i="3" a="1"/>
  <c r="I181" i="3" s="1"/>
  <c r="J181" i="3" s="1"/>
  <c r="C181" i="3" a="1"/>
  <c r="C181" i="3" s="1"/>
  <c r="D181" i="3" s="1"/>
  <c r="I180" i="3"/>
  <c r="J180" i="3" s="1"/>
  <c r="I180" i="3" a="1"/>
  <c r="C180" i="3" a="1"/>
  <c r="C180" i="3" s="1"/>
  <c r="D180" i="3" s="1"/>
  <c r="I179" i="3" a="1"/>
  <c r="I179" i="3" s="1"/>
  <c r="J179" i="3" s="1"/>
  <c r="C179" i="3"/>
  <c r="D179" i="3" s="1"/>
  <c r="C179" i="3" a="1"/>
  <c r="I178" i="3" a="1"/>
  <c r="I178" i="3" s="1"/>
  <c r="J178" i="3" s="1"/>
  <c r="C178" i="3" a="1"/>
  <c r="C178" i="3" s="1"/>
  <c r="D178" i="3" s="1"/>
  <c r="I177" i="3" a="1"/>
  <c r="I177" i="3" s="1"/>
  <c r="J177" i="3" s="1"/>
  <c r="C177" i="3"/>
  <c r="D177" i="3" s="1"/>
  <c r="C177" i="3" a="1"/>
  <c r="I176" i="3" a="1"/>
  <c r="I176" i="3" s="1"/>
  <c r="J176" i="3" s="1"/>
  <c r="C176" i="3" a="1"/>
  <c r="C176" i="3" s="1"/>
  <c r="D176" i="3" s="1"/>
  <c r="I175" i="3" a="1"/>
  <c r="I175" i="3" s="1"/>
  <c r="J175" i="3" s="1"/>
  <c r="C175" i="3" a="1"/>
  <c r="C175" i="3" s="1"/>
  <c r="D175" i="3" s="1"/>
  <c r="I174" i="3"/>
  <c r="J174" i="3" s="1"/>
  <c r="I174" i="3" a="1"/>
  <c r="C174" i="3"/>
  <c r="D174" i="3" s="1"/>
  <c r="C174" i="3" a="1"/>
  <c r="I173" i="3" a="1"/>
  <c r="I173" i="3" s="1"/>
  <c r="J173" i="3" s="1"/>
  <c r="C173" i="3" a="1"/>
  <c r="C173" i="3" s="1"/>
  <c r="D173" i="3" s="1"/>
  <c r="I172" i="3"/>
  <c r="J172" i="3" s="1"/>
  <c r="I172" i="3" a="1"/>
  <c r="C172" i="3" a="1"/>
  <c r="C172" i="3" s="1"/>
  <c r="D172" i="3" s="1"/>
  <c r="I171" i="3" a="1"/>
  <c r="I171" i="3" s="1"/>
  <c r="J171" i="3" s="1"/>
  <c r="C171" i="3"/>
  <c r="D171" i="3" s="1"/>
  <c r="C171" i="3" a="1"/>
  <c r="I170" i="3" a="1"/>
  <c r="I170" i="3" s="1"/>
  <c r="J170" i="3" s="1"/>
  <c r="C170" i="3" a="1"/>
  <c r="C170" i="3" s="1"/>
  <c r="D170" i="3" s="1"/>
  <c r="I169" i="3"/>
  <c r="J169" i="3" s="1"/>
  <c r="I169" i="3" a="1"/>
  <c r="C169" i="3"/>
  <c r="D169" i="3" s="1"/>
  <c r="C169" i="3" a="1"/>
  <c r="I168" i="3" a="1"/>
  <c r="I168" i="3" s="1"/>
  <c r="J168" i="3" s="1"/>
  <c r="C168" i="3" a="1"/>
  <c r="C168" i="3" s="1"/>
  <c r="D168" i="3" s="1"/>
  <c r="I167" i="3" a="1"/>
  <c r="I167" i="3" s="1"/>
  <c r="J167" i="3" s="1"/>
  <c r="C167" i="3" a="1"/>
  <c r="C167" i="3" s="1"/>
  <c r="D167" i="3" s="1"/>
  <c r="I166" i="3"/>
  <c r="J166" i="3" s="1"/>
  <c r="I166" i="3" a="1"/>
  <c r="C166" i="3"/>
  <c r="D166" i="3" s="1"/>
  <c r="C166" i="3" a="1"/>
  <c r="J165" i="3"/>
  <c r="I165" i="3" a="1"/>
  <c r="I165" i="3" s="1"/>
  <c r="C165" i="3" a="1"/>
  <c r="C165" i="3" s="1"/>
  <c r="D165" i="3" s="1"/>
  <c r="I164" i="3"/>
  <c r="J164" i="3" s="1"/>
  <c r="I164" i="3" a="1"/>
  <c r="C164" i="3" a="1"/>
  <c r="C164" i="3" s="1"/>
  <c r="D164" i="3" s="1"/>
  <c r="I163" i="3" a="1"/>
  <c r="I163" i="3" s="1"/>
  <c r="J163" i="3" s="1"/>
  <c r="C163" i="3"/>
  <c r="D163" i="3" s="1"/>
  <c r="C163" i="3" a="1"/>
  <c r="I162" i="3" a="1"/>
  <c r="I162" i="3" s="1"/>
  <c r="J162" i="3" s="1"/>
  <c r="C162" i="3" a="1"/>
  <c r="C162" i="3" s="1"/>
  <c r="D162" i="3" s="1"/>
  <c r="I161" i="3"/>
  <c r="J161" i="3" s="1"/>
  <c r="I161" i="3" a="1"/>
  <c r="C161" i="3"/>
  <c r="D161" i="3" s="1"/>
  <c r="C161" i="3" a="1"/>
  <c r="I160" i="3" a="1"/>
  <c r="I160" i="3" s="1"/>
  <c r="J160" i="3" s="1"/>
  <c r="C160" i="3" a="1"/>
  <c r="C160" i="3" s="1"/>
  <c r="D160" i="3" s="1"/>
  <c r="I159" i="3" a="1"/>
  <c r="I159" i="3" s="1"/>
  <c r="J159" i="3" s="1"/>
  <c r="C159" i="3" a="1"/>
  <c r="C159" i="3" s="1"/>
  <c r="D159" i="3" s="1"/>
  <c r="I158" i="3"/>
  <c r="J158" i="3" s="1"/>
  <c r="I158" i="3" a="1"/>
  <c r="C158" i="3"/>
  <c r="D158" i="3" s="1"/>
  <c r="C158" i="3" a="1"/>
  <c r="J157" i="3"/>
  <c r="I157" i="3" a="1"/>
  <c r="I157" i="3" s="1"/>
  <c r="C157" i="3" a="1"/>
  <c r="C157" i="3" s="1"/>
  <c r="D157" i="3" s="1"/>
  <c r="I156" i="3"/>
  <c r="J156" i="3" s="1"/>
  <c r="I156" i="3" a="1"/>
  <c r="C156" i="3" a="1"/>
  <c r="C156" i="3" s="1"/>
  <c r="D156" i="3" s="1"/>
  <c r="I155" i="3" a="1"/>
  <c r="I155" i="3" s="1"/>
  <c r="J155" i="3" s="1"/>
  <c r="C155" i="3"/>
  <c r="D155" i="3" s="1"/>
  <c r="C155" i="3" a="1"/>
  <c r="I154" i="3" a="1"/>
  <c r="I154" i="3" s="1"/>
  <c r="J154" i="3" s="1"/>
  <c r="C154" i="3" a="1"/>
  <c r="C154" i="3" s="1"/>
  <c r="D154" i="3" s="1"/>
  <c r="I153" i="3"/>
  <c r="J153" i="3" s="1"/>
  <c r="I153" i="3" a="1"/>
  <c r="C153" i="3"/>
  <c r="D153" i="3" s="1"/>
  <c r="C153" i="3" a="1"/>
  <c r="I152" i="3" a="1"/>
  <c r="I152" i="3" s="1"/>
  <c r="J152" i="3" s="1"/>
  <c r="C152" i="3" a="1"/>
  <c r="C152" i="3" s="1"/>
  <c r="D152" i="3" s="1"/>
  <c r="I151" i="3" a="1"/>
  <c r="I151" i="3" s="1"/>
  <c r="J151" i="3" s="1"/>
  <c r="C151" i="3" a="1"/>
  <c r="C151" i="3" s="1"/>
  <c r="D151" i="3" s="1"/>
  <c r="I150" i="3"/>
  <c r="J150" i="3" s="1"/>
  <c r="I150" i="3" a="1"/>
  <c r="C150" i="3"/>
  <c r="D150" i="3" s="1"/>
  <c r="C150" i="3" a="1"/>
  <c r="I149" i="3" a="1"/>
  <c r="I149" i="3" s="1"/>
  <c r="J149" i="3" s="1"/>
  <c r="C149" i="3" a="1"/>
  <c r="C149" i="3" s="1"/>
  <c r="D149" i="3" s="1"/>
  <c r="I148" i="3"/>
  <c r="J148" i="3" s="1"/>
  <c r="I148" i="3" a="1"/>
  <c r="C148" i="3" a="1"/>
  <c r="C148" i="3" s="1"/>
  <c r="D148" i="3" s="1"/>
  <c r="I147" i="3" a="1"/>
  <c r="I147" i="3" s="1"/>
  <c r="J147" i="3" s="1"/>
  <c r="C147" i="3"/>
  <c r="D147" i="3" s="1"/>
  <c r="C147" i="3" a="1"/>
  <c r="I146" i="3" a="1"/>
  <c r="I146" i="3" s="1"/>
  <c r="J146" i="3" s="1"/>
  <c r="C146" i="3" a="1"/>
  <c r="C146" i="3" s="1"/>
  <c r="D146" i="3" s="1"/>
  <c r="I145" i="3"/>
  <c r="J145" i="3" s="1"/>
  <c r="I145" i="3" a="1"/>
  <c r="C145" i="3"/>
  <c r="D145" i="3" s="1"/>
  <c r="C145" i="3" a="1"/>
  <c r="I144" i="3" a="1"/>
  <c r="I144" i="3" s="1"/>
  <c r="J144" i="3" s="1"/>
  <c r="C144" i="3" a="1"/>
  <c r="C144" i="3" s="1"/>
  <c r="D144" i="3" s="1"/>
  <c r="J143" i="3"/>
  <c r="I143" i="3" a="1"/>
  <c r="I143" i="3" s="1"/>
  <c r="C143" i="3" a="1"/>
  <c r="C143" i="3" s="1"/>
  <c r="D143" i="3" s="1"/>
  <c r="I142" i="3"/>
  <c r="J142" i="3" s="1"/>
  <c r="I142" i="3" a="1"/>
  <c r="C142" i="3"/>
  <c r="D142" i="3" s="1"/>
  <c r="C142" i="3" a="1"/>
  <c r="J141" i="3"/>
  <c r="I141" i="3" a="1"/>
  <c r="I141" i="3" s="1"/>
  <c r="C141" i="3" a="1"/>
  <c r="C141" i="3" s="1"/>
  <c r="D141" i="3" s="1"/>
  <c r="I140" i="3"/>
  <c r="J140" i="3" s="1"/>
  <c r="I140" i="3" a="1"/>
  <c r="C140" i="3" a="1"/>
  <c r="C140" i="3" s="1"/>
  <c r="D140" i="3" s="1"/>
  <c r="I139" i="3" a="1"/>
  <c r="I139" i="3" s="1"/>
  <c r="J139" i="3" s="1"/>
  <c r="C139" i="3"/>
  <c r="D139" i="3" s="1"/>
  <c r="C139" i="3" a="1"/>
  <c r="I138" i="3" a="1"/>
  <c r="I138" i="3" s="1"/>
  <c r="J138" i="3" s="1"/>
  <c r="C138" i="3" a="1"/>
  <c r="C138" i="3" s="1"/>
  <c r="D138" i="3" s="1"/>
  <c r="I137" i="3"/>
  <c r="J137" i="3" s="1"/>
  <c r="I137" i="3" a="1"/>
  <c r="C137" i="3"/>
  <c r="D137" i="3" s="1"/>
  <c r="C137" i="3" a="1"/>
  <c r="I136" i="3" a="1"/>
  <c r="I136" i="3" s="1"/>
  <c r="J136" i="3" s="1"/>
  <c r="C136" i="3" a="1"/>
  <c r="C136" i="3" s="1"/>
  <c r="D136" i="3" s="1"/>
  <c r="J135" i="3"/>
  <c r="I135" i="3" a="1"/>
  <c r="I135" i="3" s="1"/>
  <c r="C135" i="3" a="1"/>
  <c r="C135" i="3" s="1"/>
  <c r="D135" i="3" s="1"/>
  <c r="I134" i="3"/>
  <c r="J134" i="3" s="1"/>
  <c r="I134" i="3" a="1"/>
  <c r="C134" i="3"/>
  <c r="D134" i="3" s="1"/>
  <c r="C134" i="3" a="1"/>
  <c r="I133" i="3" a="1"/>
  <c r="I133" i="3" s="1"/>
  <c r="J133" i="3" s="1"/>
  <c r="C133" i="3" a="1"/>
  <c r="C133" i="3" s="1"/>
  <c r="D133" i="3" s="1"/>
  <c r="I132" i="3"/>
  <c r="J132" i="3" s="1"/>
  <c r="I132" i="3" a="1"/>
  <c r="C132" i="3" a="1"/>
  <c r="C132" i="3" s="1"/>
  <c r="D132" i="3" s="1"/>
  <c r="J131" i="3"/>
  <c r="I131" i="3"/>
  <c r="I131" i="3" a="1"/>
  <c r="C131" i="3"/>
  <c r="D131" i="3" s="1"/>
  <c r="C131" i="3" a="1"/>
  <c r="I130" i="3"/>
  <c r="J130" i="3" s="1"/>
  <c r="I130" i="3" a="1"/>
  <c r="C130" i="3"/>
  <c r="D130" i="3" s="1"/>
  <c r="C130" i="3" a="1"/>
  <c r="I129" i="3" a="1"/>
  <c r="I129" i="3" s="1"/>
  <c r="J129" i="3" s="1"/>
  <c r="C129" i="3"/>
  <c r="D129" i="3" s="1"/>
  <c r="C129" i="3" a="1"/>
  <c r="I128" i="3" a="1"/>
  <c r="I128" i="3" s="1"/>
  <c r="J128" i="3" s="1"/>
  <c r="C128" i="3" a="1"/>
  <c r="C128" i="3" s="1"/>
  <c r="D128" i="3" s="1"/>
  <c r="I127" i="3" a="1"/>
  <c r="I127" i="3" s="1"/>
  <c r="J127" i="3" s="1"/>
  <c r="C127" i="3" a="1"/>
  <c r="C127" i="3" s="1"/>
  <c r="D127" i="3" s="1"/>
  <c r="J126" i="3"/>
  <c r="I126" i="3"/>
  <c r="I126" i="3" a="1"/>
  <c r="C126" i="3" a="1"/>
  <c r="C126" i="3" s="1"/>
  <c r="D126" i="3" s="1"/>
  <c r="I125" i="3"/>
  <c r="J125" i="3" s="1"/>
  <c r="I125" i="3" a="1"/>
  <c r="C125" i="3" a="1"/>
  <c r="C125" i="3" s="1"/>
  <c r="D125" i="3" s="1"/>
  <c r="I124" i="3" a="1"/>
  <c r="I124" i="3" s="1"/>
  <c r="J124" i="3" s="1"/>
  <c r="C124" i="3" a="1"/>
  <c r="C124" i="3" s="1"/>
  <c r="D124" i="3" s="1"/>
  <c r="I123" i="3" a="1"/>
  <c r="I123" i="3" s="1"/>
  <c r="J123" i="3" s="1"/>
  <c r="C123" i="3"/>
  <c r="D123" i="3" s="1"/>
  <c r="C123" i="3" a="1"/>
  <c r="I122" i="3"/>
  <c r="J122" i="3" s="1"/>
  <c r="I122" i="3" a="1"/>
  <c r="C122" i="3" a="1"/>
  <c r="C122" i="3" s="1"/>
  <c r="D122" i="3" s="1"/>
  <c r="J121" i="3"/>
  <c r="I121" i="3"/>
  <c r="I121" i="3" a="1"/>
  <c r="C121" i="3" a="1"/>
  <c r="C121" i="3" s="1"/>
  <c r="D121" i="3" s="1"/>
  <c r="I120" i="3"/>
  <c r="J120" i="3" s="1"/>
  <c r="I120" i="3" a="1"/>
  <c r="C120" i="3" a="1"/>
  <c r="C120" i="3" s="1"/>
  <c r="D120" i="3" s="1"/>
  <c r="I119" i="3" a="1"/>
  <c r="I119" i="3" s="1"/>
  <c r="J119" i="3" s="1"/>
  <c r="C119" i="3"/>
  <c r="D119" i="3" s="1"/>
  <c r="C119" i="3" a="1"/>
  <c r="I118" i="3" a="1"/>
  <c r="I118" i="3" s="1"/>
  <c r="J118" i="3" s="1"/>
  <c r="C118" i="3" a="1"/>
  <c r="C118" i="3" s="1"/>
  <c r="D118" i="3" s="1"/>
  <c r="I117" i="3" a="1"/>
  <c r="I117" i="3" s="1"/>
  <c r="J117" i="3" s="1"/>
  <c r="D117" i="3"/>
  <c r="C117" i="3"/>
  <c r="C117" i="3" a="1"/>
  <c r="I116" i="3" a="1"/>
  <c r="I116" i="3" s="1"/>
  <c r="J116" i="3" s="1"/>
  <c r="C116" i="3"/>
  <c r="D116" i="3" s="1"/>
  <c r="C116" i="3" a="1"/>
  <c r="I115" i="3"/>
  <c r="J115" i="3" s="1"/>
  <c r="I115" i="3" a="1"/>
  <c r="C115" i="3" a="1"/>
  <c r="C115" i="3" s="1"/>
  <c r="D115" i="3" s="1"/>
  <c r="I114" i="3" a="1"/>
  <c r="I114" i="3" s="1"/>
  <c r="J114" i="3" s="1"/>
  <c r="C114" i="3" a="1"/>
  <c r="C114" i="3" s="1"/>
  <c r="D114" i="3" s="1"/>
  <c r="J113" i="3"/>
  <c r="I113" i="3"/>
  <c r="I113" i="3" a="1"/>
  <c r="C113" i="3" a="1"/>
  <c r="C113" i="3" s="1"/>
  <c r="D113" i="3" s="1"/>
  <c r="I112" i="3"/>
  <c r="J112" i="3" s="1"/>
  <c r="I112" i="3" a="1"/>
  <c r="C112" i="3" a="1"/>
  <c r="C112" i="3" s="1"/>
  <c r="D112" i="3" s="1"/>
  <c r="I111" i="3" a="1"/>
  <c r="I111" i="3" s="1"/>
  <c r="J111" i="3" s="1"/>
  <c r="C111" i="3"/>
  <c r="D111" i="3" s="1"/>
  <c r="C111" i="3" a="1"/>
  <c r="I110" i="3" a="1"/>
  <c r="I110" i="3" s="1"/>
  <c r="J110" i="3" s="1"/>
  <c r="C110" i="3" a="1"/>
  <c r="C110" i="3" s="1"/>
  <c r="D110" i="3" s="1"/>
  <c r="I109" i="3" a="1"/>
  <c r="I109" i="3" s="1"/>
  <c r="J109" i="3" s="1"/>
  <c r="D109" i="3"/>
  <c r="C109" i="3"/>
  <c r="C109" i="3" a="1"/>
  <c r="I108" i="3" a="1"/>
  <c r="I108" i="3" s="1"/>
  <c r="J108" i="3" s="1"/>
  <c r="C108" i="3"/>
  <c r="D108" i="3" s="1"/>
  <c r="C108" i="3" a="1"/>
  <c r="I107" i="3"/>
  <c r="J107" i="3" s="1"/>
  <c r="I107" i="3" a="1"/>
  <c r="C107" i="3" a="1"/>
  <c r="C107" i="3" s="1"/>
  <c r="D107" i="3" s="1"/>
  <c r="I106" i="3" a="1"/>
  <c r="I106" i="3" s="1"/>
  <c r="J106" i="3" s="1"/>
  <c r="C106" i="3" a="1"/>
  <c r="C106" i="3" s="1"/>
  <c r="D106" i="3" s="1"/>
  <c r="J105" i="3"/>
  <c r="I105" i="3"/>
  <c r="I105" i="3" a="1"/>
  <c r="C105" i="3" a="1"/>
  <c r="C105" i="3" s="1"/>
  <c r="D105" i="3" s="1"/>
  <c r="I104" i="3"/>
  <c r="J104" i="3" s="1"/>
  <c r="I104" i="3" a="1"/>
  <c r="C104" i="3" a="1"/>
  <c r="C104" i="3" s="1"/>
  <c r="D104" i="3" s="1"/>
  <c r="I103" i="3" a="1"/>
  <c r="I103" i="3" s="1"/>
  <c r="J103" i="3" s="1"/>
  <c r="C103" i="3"/>
  <c r="D103" i="3" s="1"/>
  <c r="C103" i="3" a="1"/>
  <c r="I102" i="3" a="1"/>
  <c r="I102" i="3" s="1"/>
  <c r="J102" i="3" s="1"/>
  <c r="C102" i="3" a="1"/>
  <c r="C102" i="3" s="1"/>
  <c r="D102" i="3" s="1"/>
  <c r="I101" i="3" a="1"/>
  <c r="I101" i="3" s="1"/>
  <c r="J101" i="3" s="1"/>
  <c r="D101" i="3"/>
  <c r="C101" i="3"/>
  <c r="C101" i="3" a="1"/>
  <c r="I100" i="3" a="1"/>
  <c r="I100" i="3" s="1"/>
  <c r="J100" i="3" s="1"/>
  <c r="C100" i="3"/>
  <c r="D100" i="3" s="1"/>
  <c r="C100" i="3" a="1"/>
  <c r="I99" i="3"/>
  <c r="J99" i="3" s="1"/>
  <c r="I99" i="3" a="1"/>
  <c r="C99" i="3" a="1"/>
  <c r="C99" i="3" s="1"/>
  <c r="D99" i="3" s="1"/>
  <c r="I98" i="3" a="1"/>
  <c r="I98" i="3" s="1"/>
  <c r="J98" i="3" s="1"/>
  <c r="C98" i="3" a="1"/>
  <c r="C98" i="3" s="1"/>
  <c r="D98" i="3" s="1"/>
  <c r="J97" i="3"/>
  <c r="I97" i="3"/>
  <c r="I97" i="3" a="1"/>
  <c r="C97" i="3" a="1"/>
  <c r="C97" i="3" s="1"/>
  <c r="D97" i="3" s="1"/>
  <c r="I96" i="3"/>
  <c r="J96" i="3" s="1"/>
  <c r="I96" i="3" a="1"/>
  <c r="C96" i="3" a="1"/>
  <c r="C96" i="3" s="1"/>
  <c r="D96" i="3" s="1"/>
  <c r="I95" i="3" a="1"/>
  <c r="I95" i="3" s="1"/>
  <c r="J95" i="3" s="1"/>
  <c r="C95" i="3"/>
  <c r="D95" i="3" s="1"/>
  <c r="C95" i="3" a="1"/>
  <c r="I94" i="3" a="1"/>
  <c r="I94" i="3" s="1"/>
  <c r="J94" i="3" s="1"/>
  <c r="C94" i="3" a="1"/>
  <c r="C94" i="3" s="1"/>
  <c r="D94" i="3" s="1"/>
  <c r="I93" i="3" a="1"/>
  <c r="I93" i="3" s="1"/>
  <c r="J93" i="3" s="1"/>
  <c r="D93" i="3"/>
  <c r="C93" i="3"/>
  <c r="C93" i="3" a="1"/>
  <c r="I92" i="3" a="1"/>
  <c r="I92" i="3" s="1"/>
  <c r="J92" i="3" s="1"/>
  <c r="C92" i="3"/>
  <c r="D92" i="3" s="1"/>
  <c r="C92" i="3" a="1"/>
  <c r="I91" i="3"/>
  <c r="J91" i="3" s="1"/>
  <c r="I91" i="3" a="1"/>
  <c r="C91" i="3" a="1"/>
  <c r="C91" i="3" s="1"/>
  <c r="D91" i="3" s="1"/>
  <c r="I90" i="3" a="1"/>
  <c r="I90" i="3" s="1"/>
  <c r="J90" i="3" s="1"/>
  <c r="C90" i="3" a="1"/>
  <c r="C90" i="3" s="1"/>
  <c r="D90" i="3" s="1"/>
  <c r="J89" i="3"/>
  <c r="I89" i="3"/>
  <c r="I89" i="3" a="1"/>
  <c r="C89" i="3" a="1"/>
  <c r="C89" i="3" s="1"/>
  <c r="D89" i="3" s="1"/>
  <c r="I88" i="3"/>
  <c r="J88" i="3" s="1"/>
  <c r="I88" i="3" a="1"/>
  <c r="C88" i="3" a="1"/>
  <c r="C88" i="3" s="1"/>
  <c r="D88" i="3" s="1"/>
  <c r="I87" i="3" a="1"/>
  <c r="I87" i="3" s="1"/>
  <c r="J87" i="3" s="1"/>
  <c r="C87" i="3"/>
  <c r="D87" i="3" s="1"/>
  <c r="C87" i="3" a="1"/>
  <c r="I86" i="3" a="1"/>
  <c r="I86" i="3" s="1"/>
  <c r="J86" i="3" s="1"/>
  <c r="C86" i="3" a="1"/>
  <c r="C86" i="3" s="1"/>
  <c r="D86" i="3" s="1"/>
  <c r="I85" i="3" a="1"/>
  <c r="I85" i="3" s="1"/>
  <c r="J85" i="3" s="1"/>
  <c r="D85" i="3"/>
  <c r="C85" i="3"/>
  <c r="C85" i="3" a="1"/>
  <c r="I84" i="3" a="1"/>
  <c r="I84" i="3" s="1"/>
  <c r="J84" i="3" s="1"/>
  <c r="C84" i="3"/>
  <c r="D84" i="3" s="1"/>
  <c r="C84" i="3" a="1"/>
  <c r="I83" i="3"/>
  <c r="J83" i="3" s="1"/>
  <c r="I83" i="3" a="1"/>
  <c r="C83" i="3" a="1"/>
  <c r="C83" i="3" s="1"/>
  <c r="D83" i="3" s="1"/>
  <c r="I82" i="3" a="1"/>
  <c r="I82" i="3" s="1"/>
  <c r="J82" i="3" s="1"/>
  <c r="C82" i="3" a="1"/>
  <c r="C82" i="3" s="1"/>
  <c r="D82" i="3" s="1"/>
  <c r="J81" i="3"/>
  <c r="I81" i="3"/>
  <c r="I81" i="3" a="1"/>
  <c r="C81" i="3" a="1"/>
  <c r="C81" i="3" s="1"/>
  <c r="D81" i="3" s="1"/>
  <c r="I80" i="3"/>
  <c r="J80" i="3" s="1"/>
  <c r="I80" i="3" a="1"/>
  <c r="C80" i="3" a="1"/>
  <c r="C80" i="3" s="1"/>
  <c r="D80" i="3" s="1"/>
  <c r="I79" i="3" a="1"/>
  <c r="I79" i="3" s="1"/>
  <c r="J79" i="3" s="1"/>
  <c r="C79" i="3"/>
  <c r="D79" i="3" s="1"/>
  <c r="C79" i="3" a="1"/>
  <c r="I78" i="3" a="1"/>
  <c r="I78" i="3" s="1"/>
  <c r="J78" i="3" s="1"/>
  <c r="C78" i="3" a="1"/>
  <c r="C78" i="3" s="1"/>
  <c r="D78" i="3" s="1"/>
  <c r="I77" i="3" a="1"/>
  <c r="I77" i="3" s="1"/>
  <c r="J77" i="3" s="1"/>
  <c r="D77" i="3"/>
  <c r="C77" i="3"/>
  <c r="C77" i="3" a="1"/>
  <c r="I76" i="3" a="1"/>
  <c r="I76" i="3" s="1"/>
  <c r="J76" i="3" s="1"/>
  <c r="C76" i="3"/>
  <c r="D76" i="3" s="1"/>
  <c r="C76" i="3" a="1"/>
  <c r="I75" i="3"/>
  <c r="J75" i="3" s="1"/>
  <c r="I75" i="3" a="1"/>
  <c r="C75" i="3" a="1"/>
  <c r="C75" i="3" s="1"/>
  <c r="D75" i="3" s="1"/>
  <c r="I74" i="3" a="1"/>
  <c r="I74" i="3" s="1"/>
  <c r="J74" i="3" s="1"/>
  <c r="C74" i="3" a="1"/>
  <c r="C74" i="3" s="1"/>
  <c r="D74" i="3" s="1"/>
  <c r="J73" i="3"/>
  <c r="I73" i="3"/>
  <c r="I73" i="3" a="1"/>
  <c r="C73" i="3" a="1"/>
  <c r="C73" i="3" s="1"/>
  <c r="D73" i="3" s="1"/>
  <c r="I72" i="3"/>
  <c r="J72" i="3" s="1"/>
  <c r="I72" i="3" a="1"/>
  <c r="C72" i="3" a="1"/>
  <c r="C72" i="3" s="1"/>
  <c r="D72" i="3" s="1"/>
  <c r="I71" i="3" a="1"/>
  <c r="I71" i="3" s="1"/>
  <c r="J71" i="3" s="1"/>
  <c r="C71" i="3"/>
  <c r="D71" i="3" s="1"/>
  <c r="C71" i="3" a="1"/>
  <c r="I70" i="3" a="1"/>
  <c r="I70" i="3" s="1"/>
  <c r="J70" i="3" s="1"/>
  <c r="C70" i="3" a="1"/>
  <c r="C70" i="3" s="1"/>
  <c r="D70" i="3" s="1"/>
  <c r="I69" i="3" a="1"/>
  <c r="I69" i="3" s="1"/>
  <c r="J69" i="3" s="1"/>
  <c r="D69" i="3"/>
  <c r="C69" i="3"/>
  <c r="C69" i="3" a="1"/>
  <c r="I68" i="3" a="1"/>
  <c r="I68" i="3" s="1"/>
  <c r="J68" i="3" s="1"/>
  <c r="C68" i="3"/>
  <c r="D68" i="3" s="1"/>
  <c r="C68" i="3" a="1"/>
  <c r="I67" i="3"/>
  <c r="J67" i="3" s="1"/>
  <c r="I67" i="3" a="1"/>
  <c r="C67" i="3" a="1"/>
  <c r="C67" i="3" s="1"/>
  <c r="D67" i="3" s="1"/>
  <c r="I66" i="3" a="1"/>
  <c r="I66" i="3" s="1"/>
  <c r="J66" i="3" s="1"/>
  <c r="C66" i="3" a="1"/>
  <c r="C66" i="3" s="1"/>
  <c r="D66" i="3" s="1"/>
  <c r="J65" i="3"/>
  <c r="I65" i="3"/>
  <c r="I65" i="3" a="1"/>
  <c r="C65" i="3" a="1"/>
  <c r="C65" i="3" s="1"/>
  <c r="D65" i="3" s="1"/>
  <c r="J64" i="3"/>
  <c r="I64" i="3"/>
  <c r="I64" i="3" a="1"/>
  <c r="C64" i="3" a="1"/>
  <c r="C64" i="3" s="1"/>
  <c r="D64" i="3" s="1"/>
  <c r="I63" i="3" a="1"/>
  <c r="I63" i="3" s="1"/>
  <c r="J63" i="3" s="1"/>
  <c r="C63" i="3"/>
  <c r="D63" i="3" s="1"/>
  <c r="C63" i="3" a="1"/>
  <c r="I62" i="3" a="1"/>
  <c r="I62" i="3" s="1"/>
  <c r="J62" i="3" s="1"/>
  <c r="C62" i="3" a="1"/>
  <c r="C62" i="3" s="1"/>
  <c r="D62" i="3" s="1"/>
  <c r="I61" i="3" a="1"/>
  <c r="I61" i="3" s="1"/>
  <c r="J61" i="3" s="1"/>
  <c r="D61" i="3"/>
  <c r="C61" i="3"/>
  <c r="C61" i="3" a="1"/>
  <c r="I60" i="3" a="1"/>
  <c r="I60" i="3" s="1"/>
  <c r="J60" i="3" s="1"/>
  <c r="D60" i="3"/>
  <c r="C60" i="3"/>
  <c r="C60" i="3" a="1"/>
  <c r="I59" i="3"/>
  <c r="J59" i="3" s="1"/>
  <c r="I59" i="3" a="1"/>
  <c r="C59" i="3" a="1"/>
  <c r="C59" i="3" s="1"/>
  <c r="D59" i="3" s="1"/>
  <c r="I58" i="3" a="1"/>
  <c r="I58" i="3" s="1"/>
  <c r="J58" i="3" s="1"/>
  <c r="D58" i="3"/>
  <c r="C58" i="3" a="1"/>
  <c r="C58" i="3" s="1"/>
  <c r="J57" i="3"/>
  <c r="I57" i="3"/>
  <c r="I57" i="3" a="1"/>
  <c r="C57" i="3" a="1"/>
  <c r="C57" i="3" s="1"/>
  <c r="D57" i="3" s="1"/>
  <c r="I56" i="3"/>
  <c r="J56" i="3" s="1"/>
  <c r="I56" i="3" a="1"/>
  <c r="C56" i="3" a="1"/>
  <c r="C56" i="3" s="1"/>
  <c r="D56" i="3" s="1"/>
  <c r="I55" i="3" a="1"/>
  <c r="I55" i="3" s="1"/>
  <c r="J55" i="3" s="1"/>
  <c r="C55" i="3"/>
  <c r="D55" i="3" s="1"/>
  <c r="C55" i="3" a="1"/>
  <c r="I54" i="3" a="1"/>
  <c r="I54" i="3" s="1"/>
  <c r="J54" i="3" s="1"/>
  <c r="D54" i="3"/>
  <c r="C54" i="3" a="1"/>
  <c r="C54" i="3" s="1"/>
  <c r="I53" i="3"/>
  <c r="J53" i="3" s="1"/>
  <c r="I53" i="3" a="1"/>
  <c r="C53" i="3"/>
  <c r="D53" i="3" s="1"/>
  <c r="C53" i="3" a="1"/>
  <c r="J52" i="3"/>
  <c r="I52" i="3" a="1"/>
  <c r="I52" i="3" s="1"/>
  <c r="C52" i="3" a="1"/>
  <c r="C52" i="3" s="1"/>
  <c r="D52" i="3" s="1"/>
  <c r="I51" i="3"/>
  <c r="J51" i="3" s="1"/>
  <c r="I51" i="3" a="1"/>
  <c r="C51" i="3"/>
  <c r="D51" i="3" s="1"/>
  <c r="C51" i="3" a="1"/>
  <c r="I50" i="3" a="1"/>
  <c r="I50" i="3" s="1"/>
  <c r="J50" i="3" s="1"/>
  <c r="C50" i="3"/>
  <c r="D50" i="3" s="1"/>
  <c r="C50" i="3" a="1"/>
  <c r="I49" i="3" a="1"/>
  <c r="I49" i="3" s="1"/>
  <c r="J49" i="3" s="1"/>
  <c r="C49" i="3" a="1"/>
  <c r="C49" i="3" s="1"/>
  <c r="D49" i="3" s="1"/>
  <c r="J48" i="3"/>
  <c r="I48" i="3" a="1"/>
  <c r="I48" i="3" s="1"/>
  <c r="C48" i="3"/>
  <c r="D48" i="3" s="1"/>
  <c r="C48" i="3" a="1"/>
  <c r="I47" i="3" a="1"/>
  <c r="I47" i="3" s="1"/>
  <c r="J47" i="3" s="1"/>
  <c r="C47" i="3" a="1"/>
  <c r="C47" i="3" s="1"/>
  <c r="D47" i="3" s="1"/>
  <c r="J46" i="3"/>
  <c r="I46" i="3" a="1"/>
  <c r="I46" i="3" s="1"/>
  <c r="C46" i="3" a="1"/>
  <c r="C46" i="3" s="1"/>
  <c r="D46" i="3" s="1"/>
  <c r="I45" i="3" a="1"/>
  <c r="I45" i="3" s="1"/>
  <c r="J45" i="3" s="1"/>
  <c r="C45" i="3" a="1"/>
  <c r="C45" i="3" s="1"/>
  <c r="D45" i="3" s="1"/>
  <c r="J44" i="3"/>
  <c r="I44" i="3" a="1"/>
  <c r="I44" i="3" s="1"/>
  <c r="D44" i="3"/>
  <c r="C44" i="3"/>
  <c r="C44" i="3" a="1"/>
  <c r="I43" i="3" a="1"/>
  <c r="I43" i="3" s="1"/>
  <c r="J43" i="3" s="1"/>
  <c r="C43" i="3" a="1"/>
  <c r="C43" i="3" s="1"/>
  <c r="D43" i="3" s="1"/>
  <c r="I42" i="3" a="1"/>
  <c r="I42" i="3" s="1"/>
  <c r="J42" i="3" s="1"/>
  <c r="D42" i="3"/>
  <c r="C42" i="3" a="1"/>
  <c r="C42" i="3" s="1"/>
  <c r="I41" i="3" a="1"/>
  <c r="I41" i="3" s="1"/>
  <c r="J41" i="3" s="1"/>
  <c r="D41" i="3"/>
  <c r="C41" i="3" a="1"/>
  <c r="C41" i="3" s="1"/>
  <c r="I40" i="3" a="1"/>
  <c r="I40" i="3" s="1"/>
  <c r="J40" i="3" s="1"/>
  <c r="C40" i="3" a="1"/>
  <c r="C40" i="3" s="1"/>
  <c r="D40" i="3" s="1"/>
  <c r="I39" i="3" a="1"/>
  <c r="I39" i="3" s="1"/>
  <c r="J39" i="3" s="1"/>
  <c r="C39" i="3" a="1"/>
  <c r="C39" i="3" s="1"/>
  <c r="D39" i="3" s="1"/>
  <c r="I38" i="3" a="1"/>
  <c r="I38" i="3" s="1"/>
  <c r="J38" i="3" s="1"/>
  <c r="C38" i="3" a="1"/>
  <c r="C38" i="3" s="1"/>
  <c r="D38" i="3" s="1"/>
  <c r="I37" i="3" a="1"/>
  <c r="I37" i="3" s="1"/>
  <c r="J37" i="3" s="1"/>
  <c r="C37" i="3" a="1"/>
  <c r="C37" i="3" s="1"/>
  <c r="D37" i="3" s="1"/>
  <c r="I36" i="3" a="1"/>
  <c r="I36" i="3" s="1"/>
  <c r="J36" i="3" s="1"/>
  <c r="C36" i="3" a="1"/>
  <c r="C36" i="3" s="1"/>
  <c r="D36" i="3" s="1"/>
  <c r="I35" i="3" a="1"/>
  <c r="I35" i="3" s="1"/>
  <c r="J35" i="3" s="1"/>
  <c r="C35" i="3" a="1"/>
  <c r="C35" i="3" s="1"/>
  <c r="D35" i="3" s="1"/>
  <c r="I34" i="3" a="1"/>
  <c r="I34" i="3" s="1"/>
  <c r="J34" i="3" s="1"/>
  <c r="D34" i="3"/>
  <c r="C34" i="3" a="1"/>
  <c r="C34" i="3" s="1"/>
  <c r="I33" i="3" a="1"/>
  <c r="I33" i="3" s="1"/>
  <c r="J33" i="3" s="1"/>
  <c r="C33" i="3" a="1"/>
  <c r="C33" i="3" s="1"/>
  <c r="D33" i="3" s="1"/>
  <c r="I32" i="3" a="1"/>
  <c r="I32" i="3" s="1"/>
  <c r="J32" i="3" s="1"/>
  <c r="C32" i="3" a="1"/>
  <c r="C32" i="3" s="1"/>
  <c r="D32" i="3" s="1"/>
  <c r="I31" i="3" a="1"/>
  <c r="I31" i="3" s="1"/>
  <c r="J31" i="3" s="1"/>
  <c r="C31" i="3" a="1"/>
  <c r="C31" i="3" s="1"/>
  <c r="D31" i="3" s="1"/>
  <c r="I30" i="3" a="1"/>
  <c r="I30" i="3" s="1"/>
  <c r="J30" i="3" s="1"/>
  <c r="C30" i="3" a="1"/>
  <c r="C30" i="3" s="1"/>
  <c r="D30" i="3" s="1"/>
  <c r="I29" i="3" a="1"/>
  <c r="I29" i="3" s="1"/>
  <c r="J29" i="3" s="1"/>
  <c r="C29" i="3" a="1"/>
  <c r="C29" i="3" s="1"/>
  <c r="D29" i="3" s="1"/>
  <c r="I28" i="3" a="1"/>
  <c r="I28" i="3" s="1"/>
  <c r="J28" i="3" s="1"/>
  <c r="C28" i="3" a="1"/>
  <c r="C28" i="3" s="1"/>
  <c r="D28" i="3" s="1"/>
  <c r="I27" i="3" a="1"/>
  <c r="I27" i="3" s="1"/>
  <c r="J27" i="3" s="1"/>
  <c r="C27" i="3" a="1"/>
  <c r="C27" i="3" s="1"/>
  <c r="D27" i="3" s="1"/>
  <c r="I26" i="3" a="1"/>
  <c r="I26" i="3" s="1"/>
  <c r="J26" i="3" s="1"/>
  <c r="D26" i="3"/>
  <c r="C26" i="3" a="1"/>
  <c r="C26" i="3" s="1"/>
  <c r="I25" i="3" a="1"/>
  <c r="I25" i="3" s="1"/>
  <c r="J25" i="3" s="1"/>
  <c r="C25" i="3" a="1"/>
  <c r="C25" i="3" s="1"/>
  <c r="D25" i="3" s="1"/>
  <c r="I24" i="3" a="1"/>
  <c r="I24" i="3" s="1"/>
  <c r="J24" i="3" s="1"/>
  <c r="C24" i="3" a="1"/>
  <c r="C24" i="3" s="1"/>
  <c r="D24" i="3" s="1"/>
  <c r="I23" i="3" a="1"/>
  <c r="I23" i="3" s="1"/>
  <c r="J23" i="3" s="1"/>
  <c r="C23" i="3" a="1"/>
  <c r="C23" i="3" s="1"/>
  <c r="D23" i="3" s="1"/>
  <c r="I22" i="3" a="1"/>
  <c r="I22" i="3" s="1"/>
  <c r="J22" i="3" s="1"/>
  <c r="D22" i="3"/>
  <c r="C22" i="3" a="1"/>
  <c r="C22" i="3" s="1"/>
  <c r="I21" i="3" a="1"/>
  <c r="I21" i="3" s="1"/>
  <c r="J21" i="3" s="1"/>
  <c r="C21" i="3" a="1"/>
  <c r="C21" i="3" s="1"/>
  <c r="D21" i="3" s="1"/>
  <c r="I20" i="3" a="1"/>
  <c r="I20" i="3" s="1"/>
  <c r="J20" i="3" s="1"/>
  <c r="D20" i="3"/>
  <c r="C20" i="3" a="1"/>
  <c r="C20" i="3" s="1"/>
  <c r="I19" i="3" a="1"/>
  <c r="I19" i="3" s="1"/>
  <c r="J19" i="3" s="1"/>
  <c r="C19" i="3" a="1"/>
  <c r="C19" i="3" s="1"/>
  <c r="D19" i="3" s="1"/>
  <c r="I18" i="3" a="1"/>
  <c r="I18" i="3" s="1"/>
  <c r="J18" i="3" s="1"/>
  <c r="D18" i="3"/>
  <c r="C18" i="3" a="1"/>
  <c r="C18" i="3" s="1"/>
  <c r="I17" i="3" a="1"/>
  <c r="I17" i="3" s="1"/>
  <c r="J17" i="3" s="1"/>
  <c r="C17" i="3" a="1"/>
  <c r="C17" i="3" s="1"/>
  <c r="D17" i="3" s="1"/>
  <c r="E17" i="3" s="1"/>
  <c r="I16" i="3" a="1"/>
  <c r="I16" i="3" s="1"/>
  <c r="J16" i="3" s="1"/>
  <c r="C16" i="3" a="1"/>
  <c r="C16" i="3" s="1"/>
  <c r="D16" i="3" s="1"/>
  <c r="I15" i="3" a="1"/>
  <c r="I15" i="3" s="1"/>
  <c r="J15" i="3" s="1"/>
  <c r="C15" i="3" a="1"/>
  <c r="C15" i="3" s="1"/>
  <c r="D15" i="3" s="1"/>
  <c r="I14" i="3" a="1"/>
  <c r="I14" i="3" s="1"/>
  <c r="J14" i="3" s="1"/>
  <c r="D14" i="3"/>
  <c r="C14" i="3" a="1"/>
  <c r="C14" i="3" s="1"/>
  <c r="I13" i="3" a="1"/>
  <c r="I13" i="3" s="1"/>
  <c r="J13" i="3" s="1"/>
  <c r="C13" i="3" a="1"/>
  <c r="C13" i="3" s="1"/>
  <c r="D13" i="3" s="1"/>
  <c r="I12" i="3" a="1"/>
  <c r="I12" i="3" s="1"/>
  <c r="J12" i="3" s="1"/>
  <c r="D12" i="3"/>
  <c r="C12" i="3" a="1"/>
  <c r="C12" i="3" s="1"/>
  <c r="I11" i="3" a="1"/>
  <c r="I11" i="3" s="1"/>
  <c r="J11" i="3" s="1"/>
  <c r="C11" i="3" a="1"/>
  <c r="C11" i="3" s="1"/>
  <c r="D11" i="3" s="1"/>
  <c r="I10" i="3" a="1"/>
  <c r="I10" i="3" s="1"/>
  <c r="J10" i="3" s="1"/>
  <c r="D10" i="3"/>
  <c r="C10" i="3" a="1"/>
  <c r="C10" i="3" s="1"/>
  <c r="I9" i="3" a="1"/>
  <c r="I9" i="3" s="1"/>
  <c r="J9" i="3" s="1"/>
  <c r="C9" i="3" a="1"/>
  <c r="C9" i="3" s="1"/>
  <c r="D9" i="3" s="1"/>
  <c r="I8" i="3" a="1"/>
  <c r="I8" i="3" s="1"/>
  <c r="J8" i="3" s="1"/>
  <c r="C8" i="3" a="1"/>
  <c r="C8" i="3" s="1"/>
  <c r="D8" i="3" s="1"/>
  <c r="E8" i="3" s="1"/>
  <c r="I7" i="3" a="1"/>
  <c r="I7" i="3" s="1"/>
  <c r="J7" i="3" s="1"/>
  <c r="C7" i="3" a="1"/>
  <c r="C7" i="3" s="1"/>
  <c r="D7" i="3" s="1"/>
  <c r="I6" i="3" a="1"/>
  <c r="I6" i="3" s="1"/>
  <c r="J6" i="3" s="1"/>
  <c r="D6" i="3"/>
  <c r="C6" i="3" a="1"/>
  <c r="C6" i="3" s="1"/>
  <c r="I5" i="3" a="1"/>
  <c r="I5" i="3" s="1"/>
  <c r="J5" i="3" s="1"/>
  <c r="C5" i="3" a="1"/>
  <c r="C5" i="3" s="1"/>
  <c r="D5" i="3" s="1"/>
  <c r="I4" i="3" a="1"/>
  <c r="I4" i="3" s="1"/>
  <c r="J4" i="3" s="1"/>
  <c r="D4" i="3"/>
  <c r="C4" i="3" a="1"/>
  <c r="C4" i="3" s="1"/>
  <c r="I3" i="3" a="1"/>
  <c r="I3" i="3" s="1"/>
  <c r="J3" i="3" s="1"/>
  <c r="C3" i="3" a="1"/>
  <c r="C3" i="3" s="1"/>
  <c r="D3" i="3" s="1"/>
  <c r="I2" i="3" a="1"/>
  <c r="I2" i="3" s="1"/>
  <c r="J2" i="3" s="1"/>
  <c r="D2" i="3"/>
  <c r="C2" i="3" a="1"/>
  <c r="C2" i="3" s="1"/>
  <c r="S891" i="2"/>
  <c r="V891" i="2" s="1"/>
  <c r="V890" i="2"/>
  <c r="S890" i="2"/>
  <c r="V889" i="2"/>
  <c r="S889" i="2"/>
  <c r="V888" i="2"/>
  <c r="S888" i="2"/>
  <c r="S887" i="2"/>
  <c r="V887" i="2" s="1"/>
  <c r="V886" i="2"/>
  <c r="S886" i="2"/>
  <c r="V885" i="2"/>
  <c r="S885" i="2"/>
  <c r="V884" i="2"/>
  <c r="S884" i="2"/>
  <c r="S883" i="2"/>
  <c r="V883" i="2" s="1"/>
  <c r="V882" i="2"/>
  <c r="S882" i="2"/>
  <c r="V881" i="2"/>
  <c r="S881" i="2"/>
  <c r="V880" i="2"/>
  <c r="S880" i="2"/>
  <c r="S879" i="2"/>
  <c r="V879" i="2" s="1"/>
  <c r="V878" i="2"/>
  <c r="S878" i="2"/>
  <c r="V877" i="2"/>
  <c r="S877" i="2"/>
  <c r="V876" i="2"/>
  <c r="S876" i="2"/>
  <c r="S875" i="2"/>
  <c r="V875" i="2" s="1"/>
  <c r="V874" i="2"/>
  <c r="S874" i="2"/>
  <c r="V873" i="2"/>
  <c r="S873" i="2"/>
  <c r="V872" i="2"/>
  <c r="S872" i="2"/>
  <c r="S871" i="2"/>
  <c r="V871" i="2" s="1"/>
  <c r="V870" i="2"/>
  <c r="S870" i="2"/>
  <c r="V869" i="2"/>
  <c r="S869" i="2"/>
  <c r="V868" i="2"/>
  <c r="S868" i="2"/>
  <c r="S867" i="2"/>
  <c r="V867" i="2" s="1"/>
  <c r="V866" i="2"/>
  <c r="S866" i="2"/>
  <c r="V865" i="2"/>
  <c r="S865" i="2"/>
  <c r="V864" i="2"/>
  <c r="S864" i="2"/>
  <c r="S863" i="2"/>
  <c r="V863" i="2" s="1"/>
  <c r="V862" i="2"/>
  <c r="S862" i="2"/>
  <c r="V861" i="2"/>
  <c r="S861" i="2"/>
  <c r="V860" i="2"/>
  <c r="S860" i="2"/>
  <c r="S859" i="2"/>
  <c r="V859" i="2" s="1"/>
  <c r="V858" i="2"/>
  <c r="S858" i="2"/>
  <c r="V857" i="2"/>
  <c r="S857" i="2"/>
  <c r="V856" i="2"/>
  <c r="S856" i="2"/>
  <c r="S855" i="2"/>
  <c r="V855" i="2" s="1"/>
  <c r="V854" i="2"/>
  <c r="S854" i="2"/>
  <c r="V853" i="2"/>
  <c r="S853" i="2"/>
  <c r="V852" i="2"/>
  <c r="S852" i="2"/>
  <c r="S851" i="2"/>
  <c r="V851" i="2" s="1"/>
  <c r="V850" i="2"/>
  <c r="S850" i="2"/>
  <c r="V849" i="2"/>
  <c r="S849" i="2"/>
  <c r="V848" i="2"/>
  <c r="S848" i="2"/>
  <c r="S847" i="2"/>
  <c r="V847" i="2" s="1"/>
  <c r="V846" i="2"/>
  <c r="S846" i="2"/>
  <c r="V845" i="2"/>
  <c r="S845" i="2"/>
  <c r="V844" i="2"/>
  <c r="S844" i="2"/>
  <c r="S843" i="2"/>
  <c r="V843" i="2" s="1"/>
  <c r="V842" i="2"/>
  <c r="S842" i="2"/>
  <c r="V841" i="2"/>
  <c r="S841" i="2"/>
  <c r="V840" i="2"/>
  <c r="S840" i="2"/>
  <c r="S839" i="2"/>
  <c r="V839" i="2" s="1"/>
  <c r="V838" i="2"/>
  <c r="S838" i="2"/>
  <c r="V837" i="2"/>
  <c r="S837" i="2"/>
  <c r="V836" i="2"/>
  <c r="S836" i="2"/>
  <c r="S835" i="2"/>
  <c r="V835" i="2" s="1"/>
  <c r="V834" i="2"/>
  <c r="S834" i="2"/>
  <c r="V833" i="2"/>
  <c r="S833" i="2"/>
  <c r="V832" i="2"/>
  <c r="S832" i="2"/>
  <c r="S831" i="2"/>
  <c r="V831" i="2" s="1"/>
  <c r="V830" i="2"/>
  <c r="S830" i="2"/>
  <c r="V829" i="2"/>
  <c r="S829" i="2"/>
  <c r="V828" i="2"/>
  <c r="S828" i="2"/>
  <c r="S827" i="2"/>
  <c r="V827" i="2" s="1"/>
  <c r="V826" i="2"/>
  <c r="S826" i="2"/>
  <c r="V825" i="2"/>
  <c r="S825" i="2"/>
  <c r="V824" i="2"/>
  <c r="S824" i="2"/>
  <c r="S823" i="2"/>
  <c r="V823" i="2" s="1"/>
  <c r="V822" i="2"/>
  <c r="S822" i="2"/>
  <c r="V821" i="2"/>
  <c r="S821" i="2"/>
  <c r="V820" i="2"/>
  <c r="S820" i="2"/>
  <c r="S819" i="2"/>
  <c r="V819" i="2" s="1"/>
  <c r="V818" i="2"/>
  <c r="S818" i="2"/>
  <c r="V817" i="2"/>
  <c r="S817" i="2"/>
  <c r="V816" i="2"/>
  <c r="S816" i="2"/>
  <c r="S815" i="2"/>
  <c r="V815" i="2" s="1"/>
  <c r="V814" i="2"/>
  <c r="S814" i="2"/>
  <c r="V813" i="2"/>
  <c r="S813" i="2"/>
  <c r="V812" i="2"/>
  <c r="S812" i="2"/>
  <c r="S811" i="2"/>
  <c r="V811" i="2" s="1"/>
  <c r="V810" i="2"/>
  <c r="S810" i="2"/>
  <c r="V809" i="2"/>
  <c r="S809" i="2"/>
  <c r="V808" i="2"/>
  <c r="S808" i="2"/>
  <c r="S807" i="2"/>
  <c r="V807" i="2" s="1"/>
  <c r="V806" i="2"/>
  <c r="S806" i="2"/>
  <c r="V805" i="2"/>
  <c r="S805" i="2"/>
  <c r="V804" i="2"/>
  <c r="S804" i="2"/>
  <c r="S803" i="2"/>
  <c r="V803" i="2" s="1"/>
  <c r="V802" i="2"/>
  <c r="S802" i="2"/>
  <c r="V801" i="2"/>
  <c r="S801" i="2"/>
  <c r="V800" i="2"/>
  <c r="S800" i="2"/>
  <c r="S799" i="2"/>
  <c r="V799" i="2" s="1"/>
  <c r="V798" i="2"/>
  <c r="S798" i="2"/>
  <c r="V797" i="2"/>
  <c r="S797" i="2"/>
  <c r="V796" i="2"/>
  <c r="S796" i="2"/>
  <c r="T795" i="2"/>
  <c r="V795" i="2" s="1"/>
  <c r="S795" i="2"/>
  <c r="L795" i="2"/>
  <c r="V794" i="2"/>
  <c r="T794" i="2"/>
  <c r="S794" i="2"/>
  <c r="L794" i="2"/>
  <c r="T793" i="2"/>
  <c r="S793" i="2"/>
  <c r="L793" i="2"/>
  <c r="T792" i="2"/>
  <c r="S792" i="2"/>
  <c r="L792" i="2"/>
  <c r="V791" i="2"/>
  <c r="T791" i="2"/>
  <c r="S791" i="2"/>
  <c r="L791" i="2"/>
  <c r="T790" i="2"/>
  <c r="S790" i="2"/>
  <c r="V790" i="2" s="1"/>
  <c r="L790" i="2"/>
  <c r="T789" i="2"/>
  <c r="S789" i="2"/>
  <c r="V789" i="2" s="1"/>
  <c r="L789" i="2"/>
  <c r="V788" i="2"/>
  <c r="T788" i="2"/>
  <c r="S788" i="2"/>
  <c r="L788" i="2"/>
  <c r="T787" i="2"/>
  <c r="V787" i="2" s="1"/>
  <c r="S787" i="2"/>
  <c r="L787" i="2"/>
  <c r="V786" i="2"/>
  <c r="T786" i="2"/>
  <c r="S786" i="2"/>
  <c r="L786" i="2"/>
  <c r="T785" i="2"/>
  <c r="S785" i="2"/>
  <c r="L785" i="2"/>
  <c r="T784" i="2"/>
  <c r="S784" i="2"/>
  <c r="L784" i="2"/>
  <c r="V783" i="2"/>
  <c r="T783" i="2"/>
  <c r="S783" i="2"/>
  <c r="L783" i="2"/>
  <c r="T782" i="2"/>
  <c r="S782" i="2"/>
  <c r="V782" i="2" s="1"/>
  <c r="L782" i="2"/>
  <c r="T781" i="2"/>
  <c r="S781" i="2"/>
  <c r="V781" i="2" s="1"/>
  <c r="L781" i="2"/>
  <c r="V780" i="2"/>
  <c r="T780" i="2"/>
  <c r="S780" i="2"/>
  <c r="L780" i="2"/>
  <c r="T779" i="2"/>
  <c r="V779" i="2" s="1"/>
  <c r="S779" i="2"/>
  <c r="L779" i="2"/>
  <c r="V778" i="2"/>
  <c r="T778" i="2"/>
  <c r="S778" i="2"/>
  <c r="L778" i="2"/>
  <c r="T777" i="2"/>
  <c r="S777" i="2"/>
  <c r="L777" i="2"/>
  <c r="T776" i="2"/>
  <c r="S776" i="2"/>
  <c r="L776" i="2"/>
  <c r="V775" i="2"/>
  <c r="T775" i="2"/>
  <c r="S775" i="2"/>
  <c r="L775" i="2"/>
  <c r="V774" i="2"/>
  <c r="T774" i="2"/>
  <c r="S774" i="2"/>
  <c r="L774" i="2"/>
  <c r="T773" i="2"/>
  <c r="S773" i="2"/>
  <c r="V773" i="2" s="1"/>
  <c r="L773" i="2"/>
  <c r="V772" i="2"/>
  <c r="T772" i="2"/>
  <c r="S772" i="2"/>
  <c r="L772" i="2"/>
  <c r="T771" i="2"/>
  <c r="V771" i="2" s="1"/>
  <c r="S771" i="2"/>
  <c r="L771" i="2"/>
  <c r="V770" i="2"/>
  <c r="T770" i="2"/>
  <c r="S770" i="2"/>
  <c r="L770" i="2"/>
  <c r="T769" i="2"/>
  <c r="S769" i="2"/>
  <c r="L769" i="2"/>
  <c r="T768" i="2"/>
  <c r="S768" i="2"/>
  <c r="L768" i="2"/>
  <c r="V767" i="2"/>
  <c r="T767" i="2"/>
  <c r="S767" i="2"/>
  <c r="L767" i="2"/>
  <c r="V766" i="2"/>
  <c r="T766" i="2"/>
  <c r="S766" i="2"/>
  <c r="L766" i="2"/>
  <c r="T765" i="2"/>
  <c r="S765" i="2"/>
  <c r="V765" i="2" s="1"/>
  <c r="L765" i="2"/>
  <c r="V764" i="2"/>
  <c r="T764" i="2"/>
  <c r="S764" i="2"/>
  <c r="L764" i="2"/>
  <c r="T763" i="2"/>
  <c r="V763" i="2" s="1"/>
  <c r="S763" i="2"/>
  <c r="L763" i="2"/>
  <c r="V762" i="2"/>
  <c r="T762" i="2"/>
  <c r="S762" i="2"/>
  <c r="L762" i="2"/>
  <c r="T761" i="2"/>
  <c r="S761" i="2"/>
  <c r="L761" i="2"/>
  <c r="T760" i="2"/>
  <c r="S760" i="2"/>
  <c r="V760" i="2" s="1"/>
  <c r="L760" i="2"/>
  <c r="V759" i="2"/>
  <c r="T759" i="2"/>
  <c r="S759" i="2"/>
  <c r="L759" i="2"/>
  <c r="T758" i="2"/>
  <c r="S758" i="2"/>
  <c r="V758" i="2" s="1"/>
  <c r="L758" i="2"/>
  <c r="T757" i="2"/>
  <c r="S757" i="2"/>
  <c r="V757" i="2" s="1"/>
  <c r="L757" i="2"/>
  <c r="V756" i="2"/>
  <c r="T756" i="2"/>
  <c r="S756" i="2"/>
  <c r="L756" i="2"/>
  <c r="T755" i="2"/>
  <c r="V755" i="2" s="1"/>
  <c r="S755" i="2"/>
  <c r="L755" i="2"/>
  <c r="V754" i="2"/>
  <c r="T754" i="2"/>
  <c r="S754" i="2"/>
  <c r="L754" i="2"/>
  <c r="T753" i="2"/>
  <c r="S753" i="2"/>
  <c r="L753" i="2"/>
  <c r="T752" i="2"/>
  <c r="S752" i="2"/>
  <c r="L752" i="2"/>
  <c r="V751" i="2"/>
  <c r="T751" i="2"/>
  <c r="S751" i="2"/>
  <c r="L751" i="2"/>
  <c r="T750" i="2"/>
  <c r="S750" i="2"/>
  <c r="V750" i="2" s="1"/>
  <c r="L750" i="2"/>
  <c r="T749" i="2"/>
  <c r="S749" i="2"/>
  <c r="V749" i="2" s="1"/>
  <c r="L749" i="2"/>
  <c r="V748" i="2"/>
  <c r="T748" i="2"/>
  <c r="S748" i="2"/>
  <c r="L748" i="2"/>
  <c r="T747" i="2"/>
  <c r="S747" i="2"/>
  <c r="R747" i="2"/>
  <c r="V747" i="2" s="1"/>
  <c r="L747" i="2"/>
  <c r="T746" i="2"/>
  <c r="S746" i="2"/>
  <c r="R746" i="2"/>
  <c r="V746" i="2" s="1"/>
  <c r="L746" i="2"/>
  <c r="T745" i="2"/>
  <c r="V745" i="2" s="1"/>
  <c r="S745" i="2"/>
  <c r="R745" i="2"/>
  <c r="L745" i="2"/>
  <c r="T744" i="2"/>
  <c r="S744" i="2"/>
  <c r="R744" i="2"/>
  <c r="L744" i="2"/>
  <c r="T743" i="2"/>
  <c r="S743" i="2"/>
  <c r="R743" i="2"/>
  <c r="V743" i="2" s="1"/>
  <c r="L743" i="2"/>
  <c r="T742" i="2"/>
  <c r="S742" i="2"/>
  <c r="R742" i="2"/>
  <c r="L742" i="2"/>
  <c r="T741" i="2"/>
  <c r="V741" i="2" s="1"/>
  <c r="S741" i="2"/>
  <c r="R741" i="2"/>
  <c r="L741" i="2"/>
  <c r="T740" i="2"/>
  <c r="S740" i="2"/>
  <c r="R740" i="2"/>
  <c r="V740" i="2" s="1"/>
  <c r="L740" i="2"/>
  <c r="T739" i="2"/>
  <c r="S739" i="2"/>
  <c r="R739" i="2"/>
  <c r="L739" i="2"/>
  <c r="T738" i="2"/>
  <c r="S738" i="2"/>
  <c r="R738" i="2"/>
  <c r="V738" i="2" s="1"/>
  <c r="L738" i="2"/>
  <c r="T737" i="2"/>
  <c r="V737" i="2" s="1"/>
  <c r="S737" i="2"/>
  <c r="R737" i="2"/>
  <c r="L737" i="2"/>
  <c r="T736" i="2"/>
  <c r="S736" i="2"/>
  <c r="R736" i="2"/>
  <c r="V736" i="2" s="1"/>
  <c r="L736" i="2"/>
  <c r="T735" i="2"/>
  <c r="S735" i="2"/>
  <c r="R735" i="2"/>
  <c r="V735" i="2" s="1"/>
  <c r="L735" i="2"/>
  <c r="T734" i="2"/>
  <c r="S734" i="2"/>
  <c r="R734" i="2"/>
  <c r="L734" i="2"/>
  <c r="T733" i="2"/>
  <c r="V733" i="2" s="1"/>
  <c r="S733" i="2"/>
  <c r="R733" i="2"/>
  <c r="L733" i="2"/>
  <c r="T732" i="2"/>
  <c r="S732" i="2"/>
  <c r="R732" i="2"/>
  <c r="V732" i="2" s="1"/>
  <c r="L732" i="2"/>
  <c r="V731" i="2"/>
  <c r="T731" i="2"/>
  <c r="S731" i="2"/>
  <c r="R731" i="2"/>
  <c r="L731" i="2"/>
  <c r="T730" i="2"/>
  <c r="S730" i="2"/>
  <c r="R730" i="2"/>
  <c r="L730" i="2"/>
  <c r="T729" i="2"/>
  <c r="V729" i="2" s="1"/>
  <c r="S729" i="2"/>
  <c r="R729" i="2"/>
  <c r="L729" i="2"/>
  <c r="T728" i="2"/>
  <c r="S728" i="2"/>
  <c r="R728" i="2"/>
  <c r="V728" i="2" s="1"/>
  <c r="L728" i="2"/>
  <c r="V727" i="2"/>
  <c r="T727" i="2"/>
  <c r="S727" i="2"/>
  <c r="R727" i="2"/>
  <c r="L727" i="2"/>
  <c r="T726" i="2"/>
  <c r="S726" i="2"/>
  <c r="R726" i="2"/>
  <c r="L726" i="2"/>
  <c r="T725" i="2"/>
  <c r="V725" i="2" s="1"/>
  <c r="S725" i="2"/>
  <c r="R725" i="2"/>
  <c r="L725" i="2"/>
  <c r="T724" i="2"/>
  <c r="S724" i="2"/>
  <c r="R724" i="2"/>
  <c r="L724" i="2"/>
  <c r="T723" i="2"/>
  <c r="S723" i="2"/>
  <c r="R723" i="2"/>
  <c r="V723" i="2" s="1"/>
  <c r="L723" i="2"/>
  <c r="T722" i="2"/>
  <c r="S722" i="2"/>
  <c r="R722" i="2"/>
  <c r="V722" i="2" s="1"/>
  <c r="L722" i="2"/>
  <c r="T721" i="2"/>
  <c r="V721" i="2" s="1"/>
  <c r="S721" i="2"/>
  <c r="R721" i="2"/>
  <c r="L721" i="2"/>
  <c r="T720" i="2"/>
  <c r="S720" i="2"/>
  <c r="R720" i="2"/>
  <c r="L720" i="2"/>
  <c r="V719" i="2"/>
  <c r="T719" i="2"/>
  <c r="S719" i="2"/>
  <c r="R719" i="2"/>
  <c r="L719" i="2"/>
  <c r="T718" i="2"/>
  <c r="S718" i="2"/>
  <c r="R718" i="2"/>
  <c r="V718" i="2" s="1"/>
  <c r="L718" i="2"/>
  <c r="T717" i="2"/>
  <c r="V717" i="2" s="1"/>
  <c r="S717" i="2"/>
  <c r="R717" i="2"/>
  <c r="L717" i="2"/>
  <c r="T716" i="2"/>
  <c r="S716" i="2"/>
  <c r="R716" i="2"/>
  <c r="L716" i="2"/>
  <c r="T715" i="2"/>
  <c r="V715" i="2" s="1"/>
  <c r="S715" i="2"/>
  <c r="R715" i="2"/>
  <c r="L715" i="2"/>
  <c r="T714" i="2"/>
  <c r="S714" i="2"/>
  <c r="R714" i="2"/>
  <c r="V714" i="2" s="1"/>
  <c r="L714" i="2"/>
  <c r="T713" i="2"/>
  <c r="V713" i="2" s="1"/>
  <c r="S713" i="2"/>
  <c r="R713" i="2"/>
  <c r="L713" i="2"/>
  <c r="T712" i="2"/>
  <c r="S712" i="2"/>
  <c r="R712" i="2"/>
  <c r="L712" i="2"/>
  <c r="T711" i="2"/>
  <c r="S711" i="2"/>
  <c r="R711" i="2"/>
  <c r="L711" i="2"/>
  <c r="T710" i="2"/>
  <c r="S710" i="2"/>
  <c r="R710" i="2"/>
  <c r="L710" i="2"/>
  <c r="T709" i="2"/>
  <c r="V709" i="2" s="1"/>
  <c r="S709" i="2"/>
  <c r="R709" i="2"/>
  <c r="L709" i="2"/>
  <c r="T708" i="2"/>
  <c r="S708" i="2"/>
  <c r="R708" i="2"/>
  <c r="V708" i="2" s="1"/>
  <c r="L708" i="2"/>
  <c r="T707" i="2"/>
  <c r="S707" i="2"/>
  <c r="R707" i="2"/>
  <c r="V707" i="2" s="1"/>
  <c r="L707" i="2"/>
  <c r="T706" i="2"/>
  <c r="S706" i="2"/>
  <c r="R706" i="2"/>
  <c r="V706" i="2" s="1"/>
  <c r="L706" i="2"/>
  <c r="T705" i="2"/>
  <c r="V705" i="2" s="1"/>
  <c r="S705" i="2"/>
  <c r="R705" i="2"/>
  <c r="L705" i="2"/>
  <c r="T704" i="2"/>
  <c r="S704" i="2"/>
  <c r="R704" i="2"/>
  <c r="V704" i="2" s="1"/>
  <c r="L704" i="2"/>
  <c r="T703" i="2"/>
  <c r="S703" i="2"/>
  <c r="R703" i="2"/>
  <c r="V703" i="2" s="1"/>
  <c r="L703" i="2"/>
  <c r="T702" i="2"/>
  <c r="S702" i="2"/>
  <c r="R702" i="2"/>
  <c r="L702" i="2"/>
  <c r="T701" i="2"/>
  <c r="V701" i="2" s="1"/>
  <c r="S701" i="2"/>
  <c r="R701" i="2"/>
  <c r="L701" i="2"/>
  <c r="T700" i="2"/>
  <c r="S700" i="2"/>
  <c r="R700" i="2"/>
  <c r="V700" i="2" s="1"/>
  <c r="L700" i="2"/>
  <c r="T699" i="2"/>
  <c r="S699" i="2"/>
  <c r="R699" i="2"/>
  <c r="V699" i="2" s="1"/>
  <c r="L699" i="2"/>
  <c r="T698" i="2"/>
  <c r="S698" i="2"/>
  <c r="R698" i="2"/>
  <c r="L698" i="2"/>
  <c r="T697" i="2"/>
  <c r="V697" i="2" s="1"/>
  <c r="S697" i="2"/>
  <c r="R697" i="2"/>
  <c r="L697" i="2"/>
  <c r="T696" i="2"/>
  <c r="S696" i="2"/>
  <c r="R696" i="2"/>
  <c r="V696" i="2" s="1"/>
  <c r="L696" i="2"/>
  <c r="V695" i="2"/>
  <c r="T695" i="2"/>
  <c r="S695" i="2"/>
  <c r="R695" i="2"/>
  <c r="L695" i="2"/>
  <c r="T694" i="2"/>
  <c r="S694" i="2"/>
  <c r="R694" i="2"/>
  <c r="L694" i="2"/>
  <c r="T693" i="2"/>
  <c r="V693" i="2" s="1"/>
  <c r="S693" i="2"/>
  <c r="R693" i="2"/>
  <c r="L693" i="2"/>
  <c r="T692" i="2"/>
  <c r="S692" i="2"/>
  <c r="R692" i="2"/>
  <c r="L692" i="2"/>
  <c r="T691" i="2"/>
  <c r="S691" i="2"/>
  <c r="R691" i="2"/>
  <c r="V691" i="2" s="1"/>
  <c r="L691" i="2"/>
  <c r="T690" i="2"/>
  <c r="S690" i="2"/>
  <c r="R690" i="2"/>
  <c r="V690" i="2" s="1"/>
  <c r="L690" i="2"/>
  <c r="T689" i="2"/>
  <c r="V689" i="2" s="1"/>
  <c r="S689" i="2"/>
  <c r="R689" i="2"/>
  <c r="L689" i="2"/>
  <c r="T688" i="2"/>
  <c r="S688" i="2"/>
  <c r="R688" i="2"/>
  <c r="L688" i="2"/>
  <c r="V687" i="2"/>
  <c r="T687" i="2"/>
  <c r="S687" i="2"/>
  <c r="R687" i="2"/>
  <c r="L687" i="2"/>
  <c r="T686" i="2"/>
  <c r="S686" i="2"/>
  <c r="R686" i="2"/>
  <c r="V686" i="2" s="1"/>
  <c r="L686" i="2"/>
  <c r="T685" i="2"/>
  <c r="V685" i="2" s="1"/>
  <c r="S685" i="2"/>
  <c r="R685" i="2"/>
  <c r="L685" i="2"/>
  <c r="T684" i="2"/>
  <c r="S684" i="2"/>
  <c r="R684" i="2"/>
  <c r="L684" i="2"/>
  <c r="T683" i="2"/>
  <c r="V683" i="2" s="1"/>
  <c r="S683" i="2"/>
  <c r="R683" i="2"/>
  <c r="L683" i="2"/>
  <c r="T682" i="2"/>
  <c r="S682" i="2"/>
  <c r="R682" i="2"/>
  <c r="V682" i="2" s="1"/>
  <c r="L682" i="2"/>
  <c r="T681" i="2"/>
  <c r="V681" i="2" s="1"/>
  <c r="S681" i="2"/>
  <c r="R681" i="2"/>
  <c r="L681" i="2"/>
  <c r="T680" i="2"/>
  <c r="S680" i="2"/>
  <c r="R680" i="2"/>
  <c r="L680" i="2"/>
  <c r="T679" i="2"/>
  <c r="S679" i="2"/>
  <c r="R679" i="2"/>
  <c r="V679" i="2" s="1"/>
  <c r="L679" i="2"/>
  <c r="T678" i="2"/>
  <c r="S678" i="2"/>
  <c r="R678" i="2"/>
  <c r="L678" i="2"/>
  <c r="T677" i="2"/>
  <c r="V677" i="2" s="1"/>
  <c r="S677" i="2"/>
  <c r="R677" i="2"/>
  <c r="L677" i="2"/>
  <c r="T676" i="2"/>
  <c r="S676" i="2"/>
  <c r="R676" i="2"/>
  <c r="V676" i="2" s="1"/>
  <c r="L676" i="2"/>
  <c r="T675" i="2"/>
  <c r="S675" i="2"/>
  <c r="R675" i="2"/>
  <c r="V675" i="2" s="1"/>
  <c r="L675" i="2"/>
  <c r="T674" i="2"/>
  <c r="S674" i="2"/>
  <c r="R674" i="2"/>
  <c r="L674" i="2"/>
  <c r="T673" i="2"/>
  <c r="V673" i="2" s="1"/>
  <c r="S673" i="2"/>
  <c r="R673" i="2"/>
  <c r="L673" i="2"/>
  <c r="T672" i="2"/>
  <c r="S672" i="2"/>
  <c r="R672" i="2"/>
  <c r="L672" i="2"/>
  <c r="T671" i="2"/>
  <c r="S671" i="2"/>
  <c r="R671" i="2"/>
  <c r="V671" i="2" s="1"/>
  <c r="L671" i="2"/>
  <c r="T670" i="2"/>
  <c r="S670" i="2"/>
  <c r="R670" i="2"/>
  <c r="L670" i="2"/>
  <c r="T669" i="2"/>
  <c r="V669" i="2" s="1"/>
  <c r="S669" i="2"/>
  <c r="R669" i="2"/>
  <c r="L669" i="2"/>
  <c r="T668" i="2"/>
  <c r="S668" i="2"/>
  <c r="R668" i="2"/>
  <c r="V668" i="2" s="1"/>
  <c r="L668" i="2"/>
  <c r="T667" i="2"/>
  <c r="S667" i="2"/>
  <c r="R667" i="2"/>
  <c r="V667" i="2" s="1"/>
  <c r="L667" i="2"/>
  <c r="T666" i="2"/>
  <c r="S666" i="2"/>
  <c r="R666" i="2"/>
  <c r="L666" i="2"/>
  <c r="T665" i="2"/>
  <c r="V665" i="2" s="1"/>
  <c r="S665" i="2"/>
  <c r="R665" i="2"/>
  <c r="L665" i="2"/>
  <c r="T664" i="2"/>
  <c r="S664" i="2"/>
  <c r="R664" i="2"/>
  <c r="V664" i="2" s="1"/>
  <c r="L664" i="2"/>
  <c r="V663" i="2"/>
  <c r="T663" i="2"/>
  <c r="S663" i="2"/>
  <c r="R663" i="2"/>
  <c r="L663" i="2"/>
  <c r="T662" i="2"/>
  <c r="S662" i="2"/>
  <c r="R662" i="2"/>
  <c r="L662" i="2"/>
  <c r="T661" i="2"/>
  <c r="V661" i="2" s="1"/>
  <c r="S661" i="2"/>
  <c r="R661" i="2"/>
  <c r="L661" i="2"/>
  <c r="T660" i="2"/>
  <c r="S660" i="2"/>
  <c r="R660" i="2"/>
  <c r="L660" i="2"/>
  <c r="T659" i="2"/>
  <c r="S659" i="2"/>
  <c r="R659" i="2"/>
  <c r="V659" i="2" s="1"/>
  <c r="L659" i="2"/>
  <c r="T658" i="2"/>
  <c r="S658" i="2"/>
  <c r="R658" i="2"/>
  <c r="V658" i="2" s="1"/>
  <c r="L658" i="2"/>
  <c r="T657" i="2"/>
  <c r="V657" i="2" s="1"/>
  <c r="S657" i="2"/>
  <c r="R657" i="2"/>
  <c r="L657" i="2"/>
  <c r="T656" i="2"/>
  <c r="S656" i="2"/>
  <c r="R656" i="2"/>
  <c r="L656" i="2"/>
  <c r="V655" i="2"/>
  <c r="T655" i="2"/>
  <c r="S655" i="2"/>
  <c r="R655" i="2"/>
  <c r="L655" i="2"/>
  <c r="T654" i="2"/>
  <c r="S654" i="2"/>
  <c r="R654" i="2"/>
  <c r="V654" i="2" s="1"/>
  <c r="L654" i="2"/>
  <c r="T653" i="2"/>
  <c r="V653" i="2" s="1"/>
  <c r="S653" i="2"/>
  <c r="R653" i="2"/>
  <c r="L653" i="2"/>
  <c r="T652" i="2"/>
  <c r="S652" i="2"/>
  <c r="R652" i="2"/>
  <c r="L652" i="2"/>
  <c r="T651" i="2"/>
  <c r="V651" i="2" s="1"/>
  <c r="S651" i="2"/>
  <c r="R651" i="2"/>
  <c r="L651" i="2"/>
  <c r="T650" i="2"/>
  <c r="S650" i="2"/>
  <c r="R650" i="2"/>
  <c r="V650" i="2" s="1"/>
  <c r="L650" i="2"/>
  <c r="T649" i="2"/>
  <c r="V649" i="2" s="1"/>
  <c r="S649" i="2"/>
  <c r="R649" i="2"/>
  <c r="L649" i="2"/>
  <c r="T648" i="2"/>
  <c r="S648" i="2"/>
  <c r="R648" i="2"/>
  <c r="L648" i="2"/>
  <c r="T647" i="2"/>
  <c r="S647" i="2"/>
  <c r="R647" i="2"/>
  <c r="V647" i="2" s="1"/>
  <c r="L647" i="2"/>
  <c r="T646" i="2"/>
  <c r="S646" i="2"/>
  <c r="R646" i="2"/>
  <c r="L646" i="2"/>
  <c r="T645" i="2"/>
  <c r="V645" i="2" s="1"/>
  <c r="S645" i="2"/>
  <c r="R645" i="2"/>
  <c r="L645" i="2"/>
  <c r="T644" i="2"/>
  <c r="S644" i="2"/>
  <c r="R644" i="2"/>
  <c r="V644" i="2" s="1"/>
  <c r="L644" i="2"/>
  <c r="T643" i="2"/>
  <c r="S643" i="2"/>
  <c r="R643" i="2"/>
  <c r="L643" i="2"/>
  <c r="T642" i="2"/>
  <c r="S642" i="2"/>
  <c r="R642" i="2"/>
  <c r="V642" i="2" s="1"/>
  <c r="L642" i="2"/>
  <c r="T641" i="2"/>
  <c r="V641" i="2" s="1"/>
  <c r="S641" i="2"/>
  <c r="R641" i="2"/>
  <c r="L641" i="2"/>
  <c r="T640" i="2"/>
  <c r="S640" i="2"/>
  <c r="R640" i="2"/>
  <c r="V640" i="2" s="1"/>
  <c r="L640" i="2"/>
  <c r="T639" i="2"/>
  <c r="S639" i="2"/>
  <c r="R639" i="2"/>
  <c r="V639" i="2" s="1"/>
  <c r="L639" i="2"/>
  <c r="T638" i="2"/>
  <c r="S638" i="2"/>
  <c r="R638" i="2"/>
  <c r="L638" i="2"/>
  <c r="T637" i="2"/>
  <c r="V637" i="2" s="1"/>
  <c r="S637" i="2"/>
  <c r="R637" i="2"/>
  <c r="L637" i="2"/>
  <c r="T636" i="2"/>
  <c r="S636" i="2"/>
  <c r="R636" i="2"/>
  <c r="V636" i="2" s="1"/>
  <c r="L636" i="2"/>
  <c r="T635" i="2"/>
  <c r="S635" i="2"/>
  <c r="R635" i="2"/>
  <c r="V635" i="2" s="1"/>
  <c r="L635" i="2"/>
  <c r="T634" i="2"/>
  <c r="S634" i="2"/>
  <c r="R634" i="2"/>
  <c r="L634" i="2"/>
  <c r="T633" i="2"/>
  <c r="V633" i="2" s="1"/>
  <c r="S633" i="2"/>
  <c r="R633" i="2"/>
  <c r="L633" i="2"/>
  <c r="T632" i="2"/>
  <c r="S632" i="2"/>
  <c r="R632" i="2"/>
  <c r="V632" i="2" s="1"/>
  <c r="L632" i="2"/>
  <c r="V631" i="2"/>
  <c r="T631" i="2"/>
  <c r="S631" i="2"/>
  <c r="R631" i="2"/>
  <c r="L631" i="2"/>
  <c r="T630" i="2"/>
  <c r="S630" i="2"/>
  <c r="R630" i="2"/>
  <c r="L630" i="2"/>
  <c r="T629" i="2"/>
  <c r="V629" i="2" s="1"/>
  <c r="S629" i="2"/>
  <c r="R629" i="2"/>
  <c r="L629" i="2"/>
  <c r="T628" i="2"/>
  <c r="S628" i="2"/>
  <c r="R628" i="2"/>
  <c r="L628" i="2"/>
  <c r="T627" i="2"/>
  <c r="S627" i="2"/>
  <c r="R627" i="2"/>
  <c r="V627" i="2" s="1"/>
  <c r="L627" i="2"/>
  <c r="T626" i="2"/>
  <c r="S626" i="2"/>
  <c r="R626" i="2"/>
  <c r="V626" i="2" s="1"/>
  <c r="L626" i="2"/>
  <c r="T625" i="2"/>
  <c r="V625" i="2" s="1"/>
  <c r="S625" i="2"/>
  <c r="R625" i="2"/>
  <c r="L625" i="2"/>
  <c r="T624" i="2"/>
  <c r="S624" i="2"/>
  <c r="R624" i="2"/>
  <c r="L624" i="2"/>
  <c r="V623" i="2"/>
  <c r="T623" i="2"/>
  <c r="S623" i="2"/>
  <c r="R623" i="2"/>
  <c r="L623" i="2"/>
  <c r="T622" i="2"/>
  <c r="S622" i="2"/>
  <c r="R622" i="2"/>
  <c r="V622" i="2" s="1"/>
  <c r="L622" i="2"/>
  <c r="T621" i="2"/>
  <c r="V621" i="2" s="1"/>
  <c r="S621" i="2"/>
  <c r="R621" i="2"/>
  <c r="L621" i="2"/>
  <c r="T620" i="2"/>
  <c r="S620" i="2"/>
  <c r="R620" i="2"/>
  <c r="L620" i="2"/>
  <c r="T619" i="2"/>
  <c r="V619" i="2" s="1"/>
  <c r="S619" i="2"/>
  <c r="R619" i="2"/>
  <c r="L619" i="2"/>
  <c r="T618" i="2"/>
  <c r="S618" i="2"/>
  <c r="R618" i="2"/>
  <c r="V618" i="2" s="1"/>
  <c r="L618" i="2"/>
  <c r="T617" i="2"/>
  <c r="V617" i="2" s="1"/>
  <c r="S617" i="2"/>
  <c r="R617" i="2"/>
  <c r="L617" i="2"/>
  <c r="T616" i="2"/>
  <c r="S616" i="2"/>
  <c r="R616" i="2"/>
  <c r="L616" i="2"/>
  <c r="T615" i="2"/>
  <c r="S615" i="2"/>
  <c r="R615" i="2"/>
  <c r="L615" i="2"/>
  <c r="T614" i="2"/>
  <c r="S614" i="2"/>
  <c r="R614" i="2"/>
  <c r="L614" i="2"/>
  <c r="T613" i="2"/>
  <c r="V613" i="2" s="1"/>
  <c r="S613" i="2"/>
  <c r="R613" i="2"/>
  <c r="L613" i="2"/>
  <c r="T612" i="2"/>
  <c r="S612" i="2"/>
  <c r="R612" i="2"/>
  <c r="V612" i="2" s="1"/>
  <c r="L612" i="2"/>
  <c r="V611" i="2"/>
  <c r="T611" i="2"/>
  <c r="S611" i="2"/>
  <c r="R611" i="2"/>
  <c r="L611" i="2"/>
  <c r="T610" i="2"/>
  <c r="S610" i="2"/>
  <c r="R610" i="2"/>
  <c r="V610" i="2" s="1"/>
  <c r="L610" i="2"/>
  <c r="T609" i="2"/>
  <c r="V609" i="2" s="1"/>
  <c r="S609" i="2"/>
  <c r="R609" i="2"/>
  <c r="L609" i="2"/>
  <c r="T608" i="2"/>
  <c r="S608" i="2"/>
  <c r="R608" i="2"/>
  <c r="L608" i="2"/>
  <c r="T607" i="2"/>
  <c r="S607" i="2"/>
  <c r="R607" i="2"/>
  <c r="L607" i="2"/>
  <c r="T606" i="2"/>
  <c r="S606" i="2"/>
  <c r="R606" i="2"/>
  <c r="L606" i="2"/>
  <c r="T605" i="2"/>
  <c r="V605" i="2" s="1"/>
  <c r="S605" i="2"/>
  <c r="R605" i="2"/>
  <c r="L605" i="2"/>
  <c r="T604" i="2"/>
  <c r="S604" i="2"/>
  <c r="R604" i="2"/>
  <c r="V604" i="2" s="1"/>
  <c r="L604" i="2"/>
  <c r="V603" i="2"/>
  <c r="T603" i="2"/>
  <c r="S603" i="2"/>
  <c r="R603" i="2"/>
  <c r="L603" i="2"/>
  <c r="T602" i="2"/>
  <c r="S602" i="2"/>
  <c r="R602" i="2"/>
  <c r="V602" i="2" s="1"/>
  <c r="L602" i="2"/>
  <c r="T601" i="2"/>
  <c r="V601" i="2" s="1"/>
  <c r="S601" i="2"/>
  <c r="R601" i="2"/>
  <c r="L601" i="2"/>
  <c r="T600" i="2"/>
  <c r="S600" i="2"/>
  <c r="R600" i="2"/>
  <c r="L600" i="2"/>
  <c r="T599" i="2"/>
  <c r="S599" i="2"/>
  <c r="R599" i="2"/>
  <c r="L599" i="2"/>
  <c r="T598" i="2"/>
  <c r="S598" i="2"/>
  <c r="R598" i="2"/>
  <c r="L598" i="2"/>
  <c r="T597" i="2"/>
  <c r="S597" i="2"/>
  <c r="R597" i="2"/>
  <c r="L597" i="2"/>
  <c r="T596" i="2"/>
  <c r="S596" i="2"/>
  <c r="R596" i="2"/>
  <c r="V596" i="2" s="1"/>
  <c r="L596" i="2"/>
  <c r="V595" i="2"/>
  <c r="T595" i="2"/>
  <c r="S595" i="2"/>
  <c r="R595" i="2"/>
  <c r="L595" i="2"/>
  <c r="T594" i="2"/>
  <c r="S594" i="2"/>
  <c r="R594" i="2"/>
  <c r="V594" i="2" s="1"/>
  <c r="L594" i="2"/>
  <c r="T593" i="2"/>
  <c r="S593" i="2"/>
  <c r="R593" i="2"/>
  <c r="V593" i="2" s="1"/>
  <c r="L593" i="2"/>
  <c r="T592" i="2"/>
  <c r="S592" i="2"/>
  <c r="R592" i="2"/>
  <c r="L592" i="2"/>
  <c r="T591" i="2"/>
  <c r="S591" i="2"/>
  <c r="R591" i="2"/>
  <c r="V591" i="2" s="1"/>
  <c r="L591" i="2"/>
  <c r="T590" i="2"/>
  <c r="S590" i="2"/>
  <c r="R590" i="2"/>
  <c r="L590" i="2"/>
  <c r="T589" i="2"/>
  <c r="S589" i="2"/>
  <c r="R589" i="2"/>
  <c r="L589" i="2"/>
  <c r="T588" i="2"/>
  <c r="S588" i="2"/>
  <c r="R588" i="2"/>
  <c r="V588" i="2" s="1"/>
  <c r="L588" i="2"/>
  <c r="V587" i="2"/>
  <c r="T587" i="2"/>
  <c r="S587" i="2"/>
  <c r="R587" i="2"/>
  <c r="L587" i="2"/>
  <c r="T586" i="2"/>
  <c r="S586" i="2"/>
  <c r="R586" i="2"/>
  <c r="V586" i="2" s="1"/>
  <c r="L586" i="2"/>
  <c r="T585" i="2"/>
  <c r="S585" i="2"/>
  <c r="R585" i="2"/>
  <c r="V585" i="2" s="1"/>
  <c r="L585" i="2"/>
  <c r="T584" i="2"/>
  <c r="S584" i="2"/>
  <c r="R584" i="2"/>
  <c r="L584" i="2"/>
  <c r="T583" i="2"/>
  <c r="S583" i="2"/>
  <c r="R583" i="2"/>
  <c r="V583" i="2" s="1"/>
  <c r="L583" i="2"/>
  <c r="T582" i="2"/>
  <c r="S582" i="2"/>
  <c r="R582" i="2"/>
  <c r="L582" i="2"/>
  <c r="T581" i="2"/>
  <c r="S581" i="2"/>
  <c r="R581" i="2"/>
  <c r="L581" i="2"/>
  <c r="T580" i="2"/>
  <c r="S580" i="2"/>
  <c r="R580" i="2"/>
  <c r="V580" i="2" s="1"/>
  <c r="L580" i="2"/>
  <c r="V579" i="2"/>
  <c r="T579" i="2"/>
  <c r="S579" i="2"/>
  <c r="R579" i="2"/>
  <c r="L579" i="2"/>
  <c r="T578" i="2"/>
  <c r="S578" i="2"/>
  <c r="R578" i="2"/>
  <c r="V578" i="2" s="1"/>
  <c r="L578" i="2"/>
  <c r="T577" i="2"/>
  <c r="S577" i="2"/>
  <c r="R577" i="2"/>
  <c r="V577" i="2" s="1"/>
  <c r="L577" i="2"/>
  <c r="T576" i="2"/>
  <c r="S576" i="2"/>
  <c r="R576" i="2"/>
  <c r="L576" i="2"/>
  <c r="T575" i="2"/>
  <c r="S575" i="2"/>
  <c r="R575" i="2"/>
  <c r="L575" i="2"/>
  <c r="T574" i="2"/>
  <c r="S574" i="2"/>
  <c r="R574" i="2"/>
  <c r="L574" i="2"/>
  <c r="T573" i="2"/>
  <c r="S573" i="2"/>
  <c r="R573" i="2"/>
  <c r="L573" i="2"/>
  <c r="T572" i="2"/>
  <c r="S572" i="2"/>
  <c r="R572" i="2"/>
  <c r="V572" i="2" s="1"/>
  <c r="L572" i="2"/>
  <c r="V571" i="2"/>
  <c r="T571" i="2"/>
  <c r="S571" i="2"/>
  <c r="R571" i="2"/>
  <c r="L571" i="2"/>
  <c r="T570" i="2"/>
  <c r="S570" i="2"/>
  <c r="R570" i="2"/>
  <c r="V570" i="2" s="1"/>
  <c r="L570" i="2"/>
  <c r="T569" i="2"/>
  <c r="S569" i="2"/>
  <c r="R569" i="2"/>
  <c r="V569" i="2" s="1"/>
  <c r="L569" i="2"/>
  <c r="T568" i="2"/>
  <c r="S568" i="2"/>
  <c r="R568" i="2"/>
  <c r="L568" i="2"/>
  <c r="T567" i="2"/>
  <c r="S567" i="2"/>
  <c r="R567" i="2"/>
  <c r="V567" i="2" s="1"/>
  <c r="L567" i="2"/>
  <c r="T566" i="2"/>
  <c r="S566" i="2"/>
  <c r="R566" i="2"/>
  <c r="L566" i="2"/>
  <c r="T565" i="2"/>
  <c r="S565" i="2"/>
  <c r="R565" i="2"/>
  <c r="L565" i="2"/>
  <c r="T564" i="2"/>
  <c r="S564" i="2"/>
  <c r="R564" i="2"/>
  <c r="V564" i="2" s="1"/>
  <c r="L564" i="2"/>
  <c r="V563" i="2"/>
  <c r="T563" i="2"/>
  <c r="S563" i="2"/>
  <c r="R563" i="2"/>
  <c r="L563" i="2"/>
  <c r="T562" i="2"/>
  <c r="S562" i="2"/>
  <c r="R562" i="2"/>
  <c r="V562" i="2" s="1"/>
  <c r="L562" i="2"/>
  <c r="T561" i="2"/>
  <c r="S561" i="2"/>
  <c r="R561" i="2"/>
  <c r="V561" i="2" s="1"/>
  <c r="L561" i="2"/>
  <c r="T560" i="2"/>
  <c r="S560" i="2"/>
  <c r="R560" i="2"/>
  <c r="L560" i="2"/>
  <c r="T559" i="2"/>
  <c r="S559" i="2"/>
  <c r="R559" i="2"/>
  <c r="L559" i="2"/>
  <c r="T558" i="2"/>
  <c r="S558" i="2"/>
  <c r="R558" i="2"/>
  <c r="L558" i="2"/>
  <c r="T557" i="2"/>
  <c r="S557" i="2"/>
  <c r="R557" i="2"/>
  <c r="L557" i="2"/>
  <c r="T556" i="2"/>
  <c r="S556" i="2"/>
  <c r="R556" i="2"/>
  <c r="V556" i="2" s="1"/>
  <c r="L556" i="2"/>
  <c r="V555" i="2"/>
  <c r="T555" i="2"/>
  <c r="S555" i="2"/>
  <c r="R555" i="2"/>
  <c r="L555" i="2"/>
  <c r="T554" i="2"/>
  <c r="S554" i="2"/>
  <c r="R554" i="2"/>
  <c r="V554" i="2" s="1"/>
  <c r="L554" i="2"/>
  <c r="T553" i="2"/>
  <c r="S553" i="2"/>
  <c r="R553" i="2"/>
  <c r="V553" i="2" s="1"/>
  <c r="L553" i="2"/>
  <c r="T552" i="2"/>
  <c r="S552" i="2"/>
  <c r="R552" i="2"/>
  <c r="L552" i="2"/>
  <c r="V551" i="2"/>
  <c r="T551" i="2"/>
  <c r="S551" i="2"/>
  <c r="R551" i="2"/>
  <c r="L551" i="2"/>
  <c r="T550" i="2"/>
  <c r="S550" i="2"/>
  <c r="R550" i="2"/>
  <c r="V550" i="2" s="1"/>
  <c r="L550" i="2"/>
  <c r="T549" i="2"/>
  <c r="S549" i="2"/>
  <c r="R549" i="2"/>
  <c r="L549" i="2"/>
  <c r="T548" i="2"/>
  <c r="S548" i="2"/>
  <c r="R548" i="2"/>
  <c r="L548" i="2"/>
  <c r="T547" i="2"/>
  <c r="S547" i="2"/>
  <c r="R547" i="2"/>
  <c r="V547" i="2" s="1"/>
  <c r="L547" i="2"/>
  <c r="T546" i="2"/>
  <c r="S546" i="2"/>
  <c r="R546" i="2"/>
  <c r="L546" i="2"/>
  <c r="T545" i="2"/>
  <c r="S545" i="2"/>
  <c r="R545" i="2"/>
  <c r="L545" i="2"/>
  <c r="T544" i="2"/>
  <c r="S544" i="2"/>
  <c r="R544" i="2"/>
  <c r="L544" i="2"/>
  <c r="T543" i="2"/>
  <c r="V543" i="2" s="1"/>
  <c r="S543" i="2"/>
  <c r="R543" i="2"/>
  <c r="L543" i="2"/>
  <c r="T542" i="2"/>
  <c r="S542" i="2"/>
  <c r="R542" i="2"/>
  <c r="L542" i="2"/>
  <c r="T541" i="2"/>
  <c r="S541" i="2"/>
  <c r="R541" i="2"/>
  <c r="L541" i="2"/>
  <c r="T540" i="2"/>
  <c r="S540" i="2"/>
  <c r="R540" i="2"/>
  <c r="L540" i="2"/>
  <c r="T539" i="2"/>
  <c r="S539" i="2"/>
  <c r="R539" i="2"/>
  <c r="L539" i="2"/>
  <c r="T538" i="2"/>
  <c r="S538" i="2"/>
  <c r="R538" i="2"/>
  <c r="L538" i="2"/>
  <c r="T537" i="2"/>
  <c r="S537" i="2"/>
  <c r="R537" i="2"/>
  <c r="L537" i="2"/>
  <c r="T536" i="2"/>
  <c r="S536" i="2"/>
  <c r="R536" i="2"/>
  <c r="V536" i="2" s="1"/>
  <c r="L536" i="2"/>
  <c r="T535" i="2"/>
  <c r="S535" i="2"/>
  <c r="R535" i="2"/>
  <c r="V535" i="2" s="1"/>
  <c r="L535" i="2"/>
  <c r="T534" i="2"/>
  <c r="S534" i="2"/>
  <c r="R534" i="2"/>
  <c r="L534" i="2"/>
  <c r="T533" i="2"/>
  <c r="S533" i="2"/>
  <c r="R533" i="2"/>
  <c r="V533" i="2" s="1"/>
  <c r="L533" i="2"/>
  <c r="T532" i="2"/>
  <c r="S532" i="2"/>
  <c r="R532" i="2"/>
  <c r="V532" i="2" s="1"/>
  <c r="L532" i="2"/>
  <c r="V531" i="2"/>
  <c r="T531" i="2"/>
  <c r="S531" i="2"/>
  <c r="R531" i="2"/>
  <c r="L531" i="2"/>
  <c r="T530" i="2"/>
  <c r="S530" i="2"/>
  <c r="R530" i="2"/>
  <c r="L530" i="2"/>
  <c r="T529" i="2"/>
  <c r="S529" i="2"/>
  <c r="R529" i="2"/>
  <c r="V529" i="2" s="1"/>
  <c r="L529" i="2"/>
  <c r="T528" i="2"/>
  <c r="S528" i="2"/>
  <c r="R528" i="2"/>
  <c r="V528" i="2" s="1"/>
  <c r="L528" i="2"/>
  <c r="T527" i="2"/>
  <c r="S527" i="2"/>
  <c r="R527" i="2"/>
  <c r="V527" i="2" s="1"/>
  <c r="L527" i="2"/>
  <c r="T526" i="2"/>
  <c r="S526" i="2"/>
  <c r="R526" i="2"/>
  <c r="V526" i="2" s="1"/>
  <c r="L526" i="2"/>
  <c r="T525" i="2"/>
  <c r="S525" i="2"/>
  <c r="R525" i="2"/>
  <c r="L525" i="2"/>
  <c r="T524" i="2"/>
  <c r="S524" i="2"/>
  <c r="R524" i="2"/>
  <c r="V524" i="2" s="1"/>
  <c r="L524" i="2"/>
  <c r="V523" i="2"/>
  <c r="T523" i="2"/>
  <c r="S523" i="2"/>
  <c r="R523" i="2"/>
  <c r="L523" i="2"/>
  <c r="T522" i="2"/>
  <c r="S522" i="2"/>
  <c r="R522" i="2"/>
  <c r="L522" i="2"/>
  <c r="T521" i="2"/>
  <c r="S521" i="2"/>
  <c r="R521" i="2"/>
  <c r="V521" i="2" s="1"/>
  <c r="L521" i="2"/>
  <c r="T520" i="2"/>
  <c r="S520" i="2"/>
  <c r="R520" i="2"/>
  <c r="V520" i="2" s="1"/>
  <c r="L520" i="2"/>
  <c r="T519" i="2"/>
  <c r="V519" i="2" s="1"/>
  <c r="S519" i="2"/>
  <c r="R519" i="2"/>
  <c r="L519" i="2"/>
  <c r="T518" i="2"/>
  <c r="S518" i="2"/>
  <c r="R518" i="2"/>
  <c r="L518" i="2"/>
  <c r="T517" i="2"/>
  <c r="S517" i="2"/>
  <c r="R517" i="2"/>
  <c r="V517" i="2" s="1"/>
  <c r="L517" i="2"/>
  <c r="V516" i="2"/>
  <c r="T516" i="2"/>
  <c r="S516" i="2"/>
  <c r="R516" i="2"/>
  <c r="L516" i="2"/>
  <c r="V515" i="2"/>
  <c r="T515" i="2"/>
  <c r="S515" i="2"/>
  <c r="R515" i="2"/>
  <c r="L515" i="2"/>
  <c r="T514" i="2"/>
  <c r="S514" i="2"/>
  <c r="R514" i="2"/>
  <c r="L514" i="2"/>
  <c r="T513" i="2"/>
  <c r="S513" i="2"/>
  <c r="R513" i="2"/>
  <c r="V513" i="2" s="1"/>
  <c r="L513" i="2"/>
  <c r="V512" i="2"/>
  <c r="T512" i="2"/>
  <c r="S512" i="2"/>
  <c r="R512" i="2"/>
  <c r="L512" i="2"/>
  <c r="V511" i="2"/>
  <c r="T511" i="2"/>
  <c r="S511" i="2"/>
  <c r="R511" i="2"/>
  <c r="L511" i="2"/>
  <c r="T510" i="2"/>
  <c r="S510" i="2"/>
  <c r="R510" i="2"/>
  <c r="L510" i="2"/>
  <c r="T509" i="2"/>
  <c r="S509" i="2"/>
  <c r="R509" i="2"/>
  <c r="V509" i="2" s="1"/>
  <c r="L509" i="2"/>
  <c r="V508" i="2"/>
  <c r="T508" i="2"/>
  <c r="S508" i="2"/>
  <c r="R508" i="2"/>
  <c r="L508" i="2"/>
  <c r="T507" i="2"/>
  <c r="S507" i="2"/>
  <c r="V507" i="2" s="1"/>
  <c r="R507" i="2"/>
  <c r="L507" i="2"/>
  <c r="T506" i="2"/>
  <c r="S506" i="2"/>
  <c r="R506" i="2"/>
  <c r="V506" i="2" s="1"/>
  <c r="L506" i="2"/>
  <c r="T505" i="2"/>
  <c r="S505" i="2"/>
  <c r="R505" i="2"/>
  <c r="V505" i="2" s="1"/>
  <c r="L505" i="2"/>
  <c r="V504" i="2"/>
  <c r="T504" i="2"/>
  <c r="S504" i="2"/>
  <c r="R504" i="2"/>
  <c r="L504" i="2"/>
  <c r="T503" i="2"/>
  <c r="S503" i="2"/>
  <c r="V503" i="2" s="1"/>
  <c r="R503" i="2"/>
  <c r="L503" i="2"/>
  <c r="T502" i="2"/>
  <c r="S502" i="2"/>
  <c r="R502" i="2"/>
  <c r="V502" i="2" s="1"/>
  <c r="L502" i="2"/>
  <c r="T501" i="2"/>
  <c r="S501" i="2"/>
  <c r="R501" i="2"/>
  <c r="V501" i="2" s="1"/>
  <c r="L501" i="2"/>
  <c r="T500" i="2"/>
  <c r="S500" i="2"/>
  <c r="R500" i="2"/>
  <c r="V500" i="2" s="1"/>
  <c r="L500" i="2"/>
  <c r="V499" i="2"/>
  <c r="T499" i="2"/>
  <c r="S499" i="2"/>
  <c r="R499" i="2"/>
  <c r="L499" i="2"/>
  <c r="T498" i="2"/>
  <c r="S498" i="2"/>
  <c r="R498" i="2"/>
  <c r="V498" i="2" s="1"/>
  <c r="L498" i="2"/>
  <c r="T497" i="2"/>
  <c r="S497" i="2"/>
  <c r="R497" i="2"/>
  <c r="V497" i="2" s="1"/>
  <c r="L497" i="2"/>
  <c r="T496" i="2"/>
  <c r="S496" i="2"/>
  <c r="R496" i="2"/>
  <c r="V496" i="2" s="1"/>
  <c r="L496" i="2"/>
  <c r="T495" i="2"/>
  <c r="V495" i="2" s="1"/>
  <c r="S495" i="2"/>
  <c r="R495" i="2"/>
  <c r="L495" i="2"/>
  <c r="T494" i="2"/>
  <c r="S494" i="2"/>
  <c r="R494" i="2"/>
  <c r="L494" i="2"/>
  <c r="T493" i="2"/>
  <c r="S493" i="2"/>
  <c r="R493" i="2"/>
  <c r="V493" i="2" s="1"/>
  <c r="L493" i="2"/>
  <c r="V492" i="2"/>
  <c r="T492" i="2"/>
  <c r="S492" i="2"/>
  <c r="R492" i="2"/>
  <c r="L492" i="2"/>
  <c r="T491" i="2"/>
  <c r="S491" i="2"/>
  <c r="V491" i="2" s="1"/>
  <c r="R491" i="2"/>
  <c r="L491" i="2"/>
  <c r="T490" i="2"/>
  <c r="S490" i="2"/>
  <c r="R490" i="2"/>
  <c r="L490" i="2"/>
  <c r="T489" i="2"/>
  <c r="S489" i="2"/>
  <c r="R489" i="2"/>
  <c r="V489" i="2" s="1"/>
  <c r="L489" i="2"/>
  <c r="T488" i="2"/>
  <c r="S488" i="2"/>
  <c r="R488" i="2"/>
  <c r="V488" i="2" s="1"/>
  <c r="L488" i="2"/>
  <c r="T487" i="2"/>
  <c r="S487" i="2"/>
  <c r="R487" i="2"/>
  <c r="L487" i="2"/>
  <c r="T486" i="2"/>
  <c r="S486" i="2"/>
  <c r="R486" i="2"/>
  <c r="L486" i="2"/>
  <c r="T485" i="2"/>
  <c r="S485" i="2"/>
  <c r="R485" i="2"/>
  <c r="V485" i="2" s="1"/>
  <c r="L485" i="2"/>
  <c r="V484" i="2"/>
  <c r="T484" i="2"/>
  <c r="S484" i="2"/>
  <c r="R484" i="2"/>
  <c r="L484" i="2"/>
  <c r="T483" i="2"/>
  <c r="S483" i="2"/>
  <c r="V483" i="2" s="1"/>
  <c r="R483" i="2"/>
  <c r="L483" i="2"/>
  <c r="T482" i="2"/>
  <c r="S482" i="2"/>
  <c r="R482" i="2"/>
  <c r="V482" i="2" s="1"/>
  <c r="L482" i="2"/>
  <c r="T481" i="2"/>
  <c r="S481" i="2"/>
  <c r="R481" i="2"/>
  <c r="L481" i="2"/>
  <c r="T480" i="2"/>
  <c r="S480" i="2"/>
  <c r="R480" i="2"/>
  <c r="V480" i="2" s="1"/>
  <c r="L480" i="2"/>
  <c r="T479" i="2"/>
  <c r="S479" i="2"/>
  <c r="V479" i="2" s="1"/>
  <c r="R479" i="2"/>
  <c r="L479" i="2"/>
  <c r="T478" i="2"/>
  <c r="S478" i="2"/>
  <c r="R478" i="2"/>
  <c r="L478" i="2"/>
  <c r="T477" i="2"/>
  <c r="S477" i="2"/>
  <c r="R477" i="2"/>
  <c r="L477" i="2"/>
  <c r="V476" i="2"/>
  <c r="T476" i="2"/>
  <c r="S476" i="2"/>
  <c r="R476" i="2"/>
  <c r="L476" i="2"/>
  <c r="T475" i="2"/>
  <c r="S475" i="2"/>
  <c r="V475" i="2" s="1"/>
  <c r="R475" i="2"/>
  <c r="L475" i="2"/>
  <c r="T474" i="2"/>
  <c r="S474" i="2"/>
  <c r="R474" i="2"/>
  <c r="V474" i="2" s="1"/>
  <c r="L474" i="2"/>
  <c r="T473" i="2"/>
  <c r="S473" i="2"/>
  <c r="R473" i="2"/>
  <c r="L473" i="2"/>
  <c r="T472" i="2"/>
  <c r="S472" i="2"/>
  <c r="R472" i="2"/>
  <c r="V472" i="2" s="1"/>
  <c r="L472" i="2"/>
  <c r="T471" i="2"/>
  <c r="V471" i="2" s="1"/>
  <c r="S471" i="2"/>
  <c r="R471" i="2"/>
  <c r="L471" i="2"/>
  <c r="T470" i="2"/>
  <c r="S470" i="2"/>
  <c r="R470" i="2"/>
  <c r="V470" i="2" s="1"/>
  <c r="L470" i="2"/>
  <c r="T469" i="2"/>
  <c r="S469" i="2"/>
  <c r="R469" i="2"/>
  <c r="L469" i="2"/>
  <c r="T468" i="2"/>
  <c r="S468" i="2"/>
  <c r="R468" i="2"/>
  <c r="V468" i="2" s="1"/>
  <c r="L468" i="2"/>
  <c r="V467" i="2"/>
  <c r="T467" i="2"/>
  <c r="S467" i="2"/>
  <c r="R467" i="2"/>
  <c r="L467" i="2"/>
  <c r="T466" i="2"/>
  <c r="S466" i="2"/>
  <c r="R466" i="2"/>
  <c r="L466" i="2"/>
  <c r="T465" i="2"/>
  <c r="S465" i="2"/>
  <c r="R465" i="2"/>
  <c r="V465" i="2" s="1"/>
  <c r="L465" i="2"/>
  <c r="T464" i="2"/>
  <c r="S464" i="2"/>
  <c r="R464" i="2"/>
  <c r="V464" i="2" s="1"/>
  <c r="L464" i="2"/>
  <c r="T463" i="2"/>
  <c r="V463" i="2" s="1"/>
  <c r="S463" i="2"/>
  <c r="R463" i="2"/>
  <c r="L463" i="2"/>
  <c r="T462" i="2"/>
  <c r="S462" i="2"/>
  <c r="R462" i="2"/>
  <c r="L462" i="2"/>
  <c r="T461" i="2"/>
  <c r="S461" i="2"/>
  <c r="R461" i="2"/>
  <c r="V461" i="2" s="1"/>
  <c r="L461" i="2"/>
  <c r="T460" i="2"/>
  <c r="S460" i="2"/>
  <c r="R460" i="2"/>
  <c r="V460" i="2" s="1"/>
  <c r="L460" i="2"/>
  <c r="T459" i="2"/>
  <c r="V459" i="2" s="1"/>
  <c r="S459" i="2"/>
  <c r="R459" i="2"/>
  <c r="L459" i="2"/>
  <c r="T458" i="2"/>
  <c r="S458" i="2"/>
  <c r="R458" i="2"/>
  <c r="V458" i="2" s="1"/>
  <c r="L458" i="2"/>
  <c r="T457" i="2"/>
  <c r="S457" i="2"/>
  <c r="R457" i="2"/>
  <c r="V457" i="2" s="1"/>
  <c r="L457" i="2"/>
  <c r="T456" i="2"/>
  <c r="S456" i="2"/>
  <c r="R456" i="2"/>
  <c r="V456" i="2" s="1"/>
  <c r="L456" i="2"/>
  <c r="T455" i="2"/>
  <c r="S455" i="2"/>
  <c r="V455" i="2" s="1"/>
  <c r="R455" i="2"/>
  <c r="L455" i="2"/>
  <c r="T454" i="2"/>
  <c r="S454" i="2"/>
  <c r="R454" i="2"/>
  <c r="L454" i="2"/>
  <c r="V453" i="2"/>
  <c r="T453" i="2"/>
  <c r="S453" i="2"/>
  <c r="R453" i="2"/>
  <c r="L453" i="2"/>
  <c r="T452" i="2"/>
  <c r="S452" i="2"/>
  <c r="R452" i="2"/>
  <c r="V452" i="2" s="1"/>
  <c r="L452" i="2"/>
  <c r="V451" i="2"/>
  <c r="T451" i="2"/>
  <c r="S451" i="2"/>
  <c r="R451" i="2"/>
  <c r="L451" i="2"/>
  <c r="T450" i="2"/>
  <c r="S450" i="2"/>
  <c r="R450" i="2"/>
  <c r="V450" i="2" s="1"/>
  <c r="L450" i="2"/>
  <c r="T449" i="2"/>
  <c r="S449" i="2"/>
  <c r="R449" i="2"/>
  <c r="V449" i="2" s="1"/>
  <c r="L449" i="2"/>
  <c r="T448" i="2"/>
  <c r="S448" i="2"/>
  <c r="R448" i="2"/>
  <c r="V448" i="2" s="1"/>
  <c r="L448" i="2"/>
  <c r="T447" i="2"/>
  <c r="S447" i="2"/>
  <c r="R447" i="2"/>
  <c r="V447" i="2" s="1"/>
  <c r="L447" i="2"/>
  <c r="T446" i="2"/>
  <c r="S446" i="2"/>
  <c r="R446" i="2"/>
  <c r="L446" i="2"/>
  <c r="T445" i="2"/>
  <c r="S445" i="2"/>
  <c r="R445" i="2"/>
  <c r="V445" i="2" s="1"/>
  <c r="L445" i="2"/>
  <c r="V444" i="2"/>
  <c r="T444" i="2"/>
  <c r="S444" i="2"/>
  <c r="R444" i="2"/>
  <c r="L444" i="2"/>
  <c r="T443" i="2"/>
  <c r="S443" i="2"/>
  <c r="V443" i="2" s="1"/>
  <c r="R443" i="2"/>
  <c r="L443" i="2"/>
  <c r="T442" i="2"/>
  <c r="S442" i="2"/>
  <c r="R442" i="2"/>
  <c r="V442" i="2" s="1"/>
  <c r="L442" i="2"/>
  <c r="T441" i="2"/>
  <c r="S441" i="2"/>
  <c r="R441" i="2"/>
  <c r="V441" i="2" s="1"/>
  <c r="L441" i="2"/>
  <c r="T440" i="2"/>
  <c r="S440" i="2"/>
  <c r="R440" i="2"/>
  <c r="L440" i="2"/>
  <c r="T439" i="2"/>
  <c r="S439" i="2"/>
  <c r="R439" i="2"/>
  <c r="L439" i="2"/>
  <c r="T438" i="2"/>
  <c r="S438" i="2"/>
  <c r="R438" i="2"/>
  <c r="L438" i="2"/>
  <c r="V437" i="2"/>
  <c r="T437" i="2"/>
  <c r="S437" i="2"/>
  <c r="R437" i="2"/>
  <c r="L437" i="2"/>
  <c r="T436" i="2"/>
  <c r="S436" i="2"/>
  <c r="V436" i="2" s="1"/>
  <c r="R436" i="2"/>
  <c r="L436" i="2"/>
  <c r="T435" i="2"/>
  <c r="S435" i="2"/>
  <c r="V435" i="2" s="1"/>
  <c r="R435" i="2"/>
  <c r="L435" i="2"/>
  <c r="T434" i="2"/>
  <c r="S434" i="2"/>
  <c r="R434" i="2"/>
  <c r="V434" i="2" s="1"/>
  <c r="L434" i="2"/>
  <c r="T433" i="2"/>
  <c r="S433" i="2"/>
  <c r="R433" i="2"/>
  <c r="V433" i="2" s="1"/>
  <c r="L433" i="2"/>
  <c r="T432" i="2"/>
  <c r="S432" i="2"/>
  <c r="R432" i="2"/>
  <c r="L432" i="2"/>
  <c r="T431" i="2"/>
  <c r="S431" i="2"/>
  <c r="R431" i="2"/>
  <c r="V431" i="2" s="1"/>
  <c r="L431" i="2"/>
  <c r="T430" i="2"/>
  <c r="S430" i="2"/>
  <c r="R430" i="2"/>
  <c r="V430" i="2" s="1"/>
  <c r="L430" i="2"/>
  <c r="T429" i="2"/>
  <c r="S429" i="2"/>
  <c r="R429" i="2"/>
  <c r="V429" i="2" s="1"/>
  <c r="L429" i="2"/>
  <c r="T428" i="2"/>
  <c r="S428" i="2"/>
  <c r="R428" i="2"/>
  <c r="V428" i="2" s="1"/>
  <c r="L428" i="2"/>
  <c r="T427" i="2"/>
  <c r="S427" i="2"/>
  <c r="R427" i="2"/>
  <c r="V427" i="2" s="1"/>
  <c r="L427" i="2"/>
  <c r="T426" i="2"/>
  <c r="S426" i="2"/>
  <c r="R426" i="2"/>
  <c r="V426" i="2" s="1"/>
  <c r="L426" i="2"/>
  <c r="T425" i="2"/>
  <c r="S425" i="2"/>
  <c r="R425" i="2"/>
  <c r="L425" i="2"/>
  <c r="T424" i="2"/>
  <c r="S424" i="2"/>
  <c r="R424" i="2"/>
  <c r="V424" i="2" s="1"/>
  <c r="L424" i="2"/>
  <c r="T423" i="2"/>
  <c r="S423" i="2"/>
  <c r="R423" i="2"/>
  <c r="V423" i="2" s="1"/>
  <c r="L423" i="2"/>
  <c r="T422" i="2"/>
  <c r="S422" i="2"/>
  <c r="R422" i="2"/>
  <c r="V422" i="2" s="1"/>
  <c r="L422" i="2"/>
  <c r="T421" i="2"/>
  <c r="S421" i="2"/>
  <c r="R421" i="2"/>
  <c r="V421" i="2" s="1"/>
  <c r="L421" i="2"/>
  <c r="T420" i="2"/>
  <c r="S420" i="2"/>
  <c r="R420" i="2"/>
  <c r="V420" i="2" s="1"/>
  <c r="L420" i="2"/>
  <c r="T419" i="2"/>
  <c r="S419" i="2"/>
  <c r="R419" i="2"/>
  <c r="V419" i="2" s="1"/>
  <c r="L419" i="2"/>
  <c r="T418" i="2"/>
  <c r="S418" i="2"/>
  <c r="R418" i="2"/>
  <c r="V418" i="2" s="1"/>
  <c r="L418" i="2"/>
  <c r="T417" i="2"/>
  <c r="S417" i="2"/>
  <c r="R417" i="2"/>
  <c r="V417" i="2" s="1"/>
  <c r="L417" i="2"/>
  <c r="T416" i="2"/>
  <c r="S416" i="2"/>
  <c r="R416" i="2"/>
  <c r="L416" i="2"/>
  <c r="T415" i="2"/>
  <c r="S415" i="2"/>
  <c r="R415" i="2"/>
  <c r="V415" i="2" s="1"/>
  <c r="L415" i="2"/>
  <c r="T414" i="2"/>
  <c r="S414" i="2"/>
  <c r="R414" i="2"/>
  <c r="V414" i="2" s="1"/>
  <c r="L414" i="2"/>
  <c r="T413" i="2"/>
  <c r="S413" i="2"/>
  <c r="R413" i="2"/>
  <c r="V413" i="2" s="1"/>
  <c r="L413" i="2"/>
  <c r="T412" i="2"/>
  <c r="S412" i="2"/>
  <c r="R412" i="2"/>
  <c r="V412" i="2" s="1"/>
  <c r="L412" i="2"/>
  <c r="T411" i="2"/>
  <c r="S411" i="2"/>
  <c r="R411" i="2"/>
  <c r="L411" i="2"/>
  <c r="T410" i="2"/>
  <c r="S410" i="2"/>
  <c r="R410" i="2"/>
  <c r="L410" i="2"/>
  <c r="T409" i="2"/>
  <c r="S409" i="2"/>
  <c r="R409" i="2"/>
  <c r="L409" i="2"/>
  <c r="T408" i="2"/>
  <c r="S408" i="2"/>
  <c r="R408" i="2"/>
  <c r="L408" i="2"/>
  <c r="T407" i="2"/>
  <c r="S407" i="2"/>
  <c r="R407" i="2"/>
  <c r="L407" i="2"/>
  <c r="T406" i="2"/>
  <c r="S406" i="2"/>
  <c r="R406" i="2"/>
  <c r="L406" i="2"/>
  <c r="T405" i="2"/>
  <c r="S405" i="2"/>
  <c r="R405" i="2"/>
  <c r="L405" i="2"/>
  <c r="T404" i="2"/>
  <c r="S404" i="2"/>
  <c r="R404" i="2"/>
  <c r="L404" i="2"/>
  <c r="T403" i="2"/>
  <c r="S403" i="2"/>
  <c r="R403" i="2"/>
  <c r="L403" i="2"/>
  <c r="T402" i="2"/>
  <c r="S402" i="2"/>
  <c r="R402" i="2"/>
  <c r="L402" i="2"/>
  <c r="T401" i="2"/>
  <c r="S401" i="2"/>
  <c r="R401" i="2"/>
  <c r="L401" i="2"/>
  <c r="T400" i="2"/>
  <c r="S400" i="2"/>
  <c r="R400" i="2"/>
  <c r="L400" i="2"/>
  <c r="T399" i="2"/>
  <c r="S399" i="2"/>
  <c r="R399" i="2"/>
  <c r="L399" i="2"/>
  <c r="T398" i="2"/>
  <c r="S398" i="2"/>
  <c r="R398" i="2"/>
  <c r="L398" i="2"/>
  <c r="T397" i="2"/>
  <c r="S397" i="2"/>
  <c r="R397" i="2"/>
  <c r="L397" i="2"/>
  <c r="T396" i="2"/>
  <c r="S396" i="2"/>
  <c r="R396" i="2"/>
  <c r="L396" i="2"/>
  <c r="T395" i="2"/>
  <c r="S395" i="2"/>
  <c r="R395" i="2"/>
  <c r="L395" i="2"/>
  <c r="T394" i="2"/>
  <c r="S394" i="2"/>
  <c r="R394" i="2"/>
  <c r="L394" i="2"/>
  <c r="T393" i="2"/>
  <c r="S393" i="2"/>
  <c r="R393" i="2"/>
  <c r="L393" i="2"/>
  <c r="T392" i="2"/>
  <c r="S392" i="2"/>
  <c r="R392" i="2"/>
  <c r="L392" i="2"/>
  <c r="T391" i="2"/>
  <c r="S391" i="2"/>
  <c r="R391" i="2"/>
  <c r="L391" i="2"/>
  <c r="T390" i="2"/>
  <c r="S390" i="2"/>
  <c r="R390" i="2"/>
  <c r="L390" i="2"/>
  <c r="T389" i="2"/>
  <c r="S389" i="2"/>
  <c r="R389" i="2"/>
  <c r="L389" i="2"/>
  <c r="T388" i="2"/>
  <c r="S388" i="2"/>
  <c r="R388" i="2"/>
  <c r="L388" i="2"/>
  <c r="T387" i="2"/>
  <c r="S387" i="2"/>
  <c r="R387" i="2"/>
  <c r="L387" i="2"/>
  <c r="T386" i="2"/>
  <c r="S386" i="2"/>
  <c r="R386" i="2"/>
  <c r="L386" i="2"/>
  <c r="T385" i="2"/>
  <c r="S385" i="2"/>
  <c r="R385" i="2"/>
  <c r="L385" i="2"/>
  <c r="T384" i="2"/>
  <c r="S384" i="2"/>
  <c r="R384" i="2"/>
  <c r="L384" i="2"/>
  <c r="T383" i="2"/>
  <c r="S383" i="2"/>
  <c r="R383" i="2"/>
  <c r="L383" i="2"/>
  <c r="T382" i="2"/>
  <c r="S382" i="2"/>
  <c r="R382" i="2"/>
  <c r="L382" i="2"/>
  <c r="T381" i="2"/>
  <c r="S381" i="2"/>
  <c r="R381" i="2"/>
  <c r="L381" i="2"/>
  <c r="T380" i="2"/>
  <c r="S380" i="2"/>
  <c r="R380" i="2"/>
  <c r="L380" i="2"/>
  <c r="T379" i="2"/>
  <c r="S379" i="2"/>
  <c r="R379" i="2"/>
  <c r="L379" i="2"/>
  <c r="T378" i="2"/>
  <c r="S378" i="2"/>
  <c r="R378" i="2"/>
  <c r="L378" i="2"/>
  <c r="T377" i="2"/>
  <c r="S377" i="2"/>
  <c r="R377" i="2"/>
  <c r="L377" i="2"/>
  <c r="T376" i="2"/>
  <c r="S376" i="2"/>
  <c r="R376" i="2"/>
  <c r="L376" i="2"/>
  <c r="T375" i="2"/>
  <c r="S375" i="2"/>
  <c r="R375" i="2"/>
  <c r="L375" i="2"/>
  <c r="T374" i="2"/>
  <c r="S374" i="2"/>
  <c r="R374" i="2"/>
  <c r="L374" i="2"/>
  <c r="T373" i="2"/>
  <c r="S373" i="2"/>
  <c r="R373" i="2"/>
  <c r="L373" i="2"/>
  <c r="T372" i="2"/>
  <c r="S372" i="2"/>
  <c r="R372" i="2"/>
  <c r="L372" i="2"/>
  <c r="T371" i="2"/>
  <c r="S371" i="2"/>
  <c r="R371" i="2"/>
  <c r="L371" i="2"/>
  <c r="T370" i="2"/>
  <c r="S370" i="2"/>
  <c r="R370" i="2"/>
  <c r="L370" i="2"/>
  <c r="T369" i="2"/>
  <c r="S369" i="2"/>
  <c r="R369" i="2"/>
  <c r="L369" i="2"/>
  <c r="T368" i="2"/>
  <c r="S368" i="2"/>
  <c r="R368" i="2"/>
  <c r="L368" i="2"/>
  <c r="T367" i="2"/>
  <c r="S367" i="2"/>
  <c r="R367" i="2"/>
  <c r="L367" i="2"/>
  <c r="T366" i="2"/>
  <c r="S366" i="2"/>
  <c r="R366" i="2"/>
  <c r="L366" i="2"/>
  <c r="T365" i="2"/>
  <c r="S365" i="2"/>
  <c r="R365" i="2"/>
  <c r="L365" i="2"/>
  <c r="T364" i="2"/>
  <c r="S364" i="2"/>
  <c r="R364" i="2"/>
  <c r="L364" i="2"/>
  <c r="T363" i="2"/>
  <c r="S363" i="2"/>
  <c r="R363" i="2"/>
  <c r="L363" i="2"/>
  <c r="T362" i="2"/>
  <c r="S362" i="2"/>
  <c r="R362" i="2"/>
  <c r="L362" i="2"/>
  <c r="T361" i="2"/>
  <c r="S361" i="2"/>
  <c r="R361" i="2"/>
  <c r="L361" i="2"/>
  <c r="T360" i="2"/>
  <c r="S360" i="2"/>
  <c r="R360" i="2"/>
  <c r="L360" i="2"/>
  <c r="T359" i="2"/>
  <c r="S359" i="2"/>
  <c r="R359" i="2"/>
  <c r="L359" i="2"/>
  <c r="T358" i="2"/>
  <c r="S358" i="2"/>
  <c r="R358" i="2"/>
  <c r="L358" i="2"/>
  <c r="T357" i="2"/>
  <c r="S357" i="2"/>
  <c r="R357" i="2"/>
  <c r="L357" i="2"/>
  <c r="T356" i="2"/>
  <c r="S356" i="2"/>
  <c r="R356" i="2"/>
  <c r="L356" i="2"/>
  <c r="T355" i="2"/>
  <c r="S355" i="2"/>
  <c r="R355" i="2"/>
  <c r="L355" i="2"/>
  <c r="T354" i="2"/>
  <c r="S354" i="2"/>
  <c r="R354" i="2"/>
  <c r="L354" i="2"/>
  <c r="T353" i="2"/>
  <c r="S353" i="2"/>
  <c r="R353" i="2"/>
  <c r="L353" i="2"/>
  <c r="T352" i="2"/>
  <c r="S352" i="2"/>
  <c r="R352" i="2"/>
  <c r="L352" i="2"/>
  <c r="T351" i="2"/>
  <c r="S351" i="2"/>
  <c r="R351" i="2"/>
  <c r="L351" i="2"/>
  <c r="T350" i="2"/>
  <c r="S350" i="2"/>
  <c r="R350" i="2"/>
  <c r="L350" i="2"/>
  <c r="T349" i="2"/>
  <c r="S349" i="2"/>
  <c r="R349" i="2"/>
  <c r="L349" i="2"/>
  <c r="T348" i="2"/>
  <c r="S348" i="2"/>
  <c r="R348" i="2"/>
  <c r="L348" i="2"/>
  <c r="T347" i="2"/>
  <c r="S347" i="2"/>
  <c r="R347" i="2"/>
  <c r="L347" i="2"/>
  <c r="T346" i="2"/>
  <c r="S346" i="2"/>
  <c r="R346" i="2"/>
  <c r="L346" i="2"/>
  <c r="T345" i="2"/>
  <c r="S345" i="2"/>
  <c r="R345" i="2"/>
  <c r="L345" i="2"/>
  <c r="T344" i="2"/>
  <c r="S344" i="2"/>
  <c r="R344" i="2"/>
  <c r="L344" i="2"/>
  <c r="T343" i="2"/>
  <c r="S343" i="2"/>
  <c r="R343" i="2"/>
  <c r="L343" i="2"/>
  <c r="T342" i="2"/>
  <c r="S342" i="2"/>
  <c r="R342" i="2"/>
  <c r="L342" i="2"/>
  <c r="T341" i="2"/>
  <c r="S341" i="2"/>
  <c r="R341" i="2"/>
  <c r="L341" i="2"/>
  <c r="T340" i="2"/>
  <c r="S340" i="2"/>
  <c r="R340" i="2"/>
  <c r="L340" i="2"/>
  <c r="T339" i="2"/>
  <c r="S339" i="2"/>
  <c r="R339" i="2"/>
  <c r="L339" i="2"/>
  <c r="T338" i="2"/>
  <c r="S338" i="2"/>
  <c r="R338" i="2"/>
  <c r="L338" i="2"/>
  <c r="T337" i="2"/>
  <c r="S337" i="2"/>
  <c r="R337" i="2"/>
  <c r="L337" i="2"/>
  <c r="T336" i="2"/>
  <c r="S336" i="2"/>
  <c r="R336" i="2"/>
  <c r="L336" i="2"/>
  <c r="T335" i="2"/>
  <c r="S335" i="2"/>
  <c r="R335" i="2"/>
  <c r="L335" i="2"/>
  <c r="T334" i="2"/>
  <c r="S334" i="2"/>
  <c r="R334" i="2"/>
  <c r="L334" i="2"/>
  <c r="T333" i="2"/>
  <c r="S333" i="2"/>
  <c r="R333" i="2"/>
  <c r="L333" i="2"/>
  <c r="T332" i="2"/>
  <c r="S332" i="2"/>
  <c r="R332" i="2"/>
  <c r="L332" i="2"/>
  <c r="T331" i="2"/>
  <c r="S331" i="2"/>
  <c r="R331" i="2"/>
  <c r="L331" i="2"/>
  <c r="T330" i="2"/>
  <c r="S330" i="2"/>
  <c r="R330" i="2"/>
  <c r="L330" i="2"/>
  <c r="T329" i="2"/>
  <c r="S329" i="2"/>
  <c r="R329" i="2"/>
  <c r="L329" i="2"/>
  <c r="T328" i="2"/>
  <c r="S328" i="2"/>
  <c r="R328" i="2"/>
  <c r="L328" i="2"/>
  <c r="T327" i="2"/>
  <c r="S327" i="2"/>
  <c r="R327" i="2"/>
  <c r="L327" i="2"/>
  <c r="T326" i="2"/>
  <c r="S326" i="2"/>
  <c r="R326" i="2"/>
  <c r="L326" i="2"/>
  <c r="T325" i="2"/>
  <c r="S325" i="2"/>
  <c r="R325" i="2"/>
  <c r="L325" i="2"/>
  <c r="T324" i="2"/>
  <c r="S324" i="2"/>
  <c r="R324" i="2"/>
  <c r="L324" i="2"/>
  <c r="T323" i="2"/>
  <c r="S323" i="2"/>
  <c r="R323" i="2"/>
  <c r="L323" i="2"/>
  <c r="T322" i="2"/>
  <c r="S322" i="2"/>
  <c r="R322" i="2"/>
  <c r="L322" i="2"/>
  <c r="T321" i="2"/>
  <c r="S321" i="2"/>
  <c r="R321" i="2"/>
  <c r="L321" i="2"/>
  <c r="T320" i="2"/>
  <c r="S320" i="2"/>
  <c r="R320" i="2"/>
  <c r="L320" i="2"/>
  <c r="T319" i="2"/>
  <c r="S319" i="2"/>
  <c r="R319" i="2"/>
  <c r="L319" i="2"/>
  <c r="T318" i="2"/>
  <c r="S318" i="2"/>
  <c r="R318" i="2"/>
  <c r="L318" i="2"/>
  <c r="T317" i="2"/>
  <c r="S317" i="2"/>
  <c r="R317" i="2"/>
  <c r="L317" i="2"/>
  <c r="T316" i="2"/>
  <c r="S316" i="2"/>
  <c r="R316" i="2"/>
  <c r="L316" i="2"/>
  <c r="T315" i="2"/>
  <c r="S315" i="2"/>
  <c r="R315" i="2"/>
  <c r="L315" i="2"/>
  <c r="T314" i="2"/>
  <c r="S314" i="2"/>
  <c r="R314" i="2"/>
  <c r="L314" i="2"/>
  <c r="T313" i="2"/>
  <c r="S313" i="2"/>
  <c r="R313" i="2"/>
  <c r="L313" i="2"/>
  <c r="T312" i="2"/>
  <c r="S312" i="2"/>
  <c r="R312" i="2"/>
  <c r="L312" i="2"/>
  <c r="T311" i="2"/>
  <c r="S311" i="2"/>
  <c r="R311" i="2"/>
  <c r="L311" i="2"/>
  <c r="T310" i="2"/>
  <c r="S310" i="2"/>
  <c r="R310" i="2"/>
  <c r="L310" i="2"/>
  <c r="T309" i="2"/>
  <c r="S309" i="2"/>
  <c r="R309" i="2"/>
  <c r="L309" i="2"/>
  <c r="T308" i="2"/>
  <c r="S308" i="2"/>
  <c r="R308" i="2"/>
  <c r="L308" i="2"/>
  <c r="T307" i="2"/>
  <c r="S307" i="2"/>
  <c r="R307" i="2"/>
  <c r="L307" i="2"/>
  <c r="T306" i="2"/>
  <c r="S306" i="2"/>
  <c r="R306" i="2"/>
  <c r="L306" i="2"/>
  <c r="T305" i="2"/>
  <c r="S305" i="2"/>
  <c r="R305" i="2"/>
  <c r="L305" i="2"/>
  <c r="T304" i="2"/>
  <c r="S304" i="2"/>
  <c r="R304" i="2"/>
  <c r="L304" i="2"/>
  <c r="T303" i="2"/>
  <c r="S303" i="2"/>
  <c r="R303" i="2"/>
  <c r="L303" i="2"/>
  <c r="T302" i="2"/>
  <c r="S302" i="2"/>
  <c r="R302" i="2"/>
  <c r="L302" i="2"/>
  <c r="T301" i="2"/>
  <c r="S301" i="2"/>
  <c r="R301" i="2"/>
  <c r="L301" i="2"/>
  <c r="T300" i="2"/>
  <c r="S300" i="2"/>
  <c r="R300" i="2"/>
  <c r="L300" i="2"/>
  <c r="T299" i="2"/>
  <c r="S299" i="2"/>
  <c r="R299" i="2"/>
  <c r="L299" i="2"/>
  <c r="T298" i="2"/>
  <c r="S298" i="2"/>
  <c r="R298" i="2"/>
  <c r="L298" i="2"/>
  <c r="T297" i="2"/>
  <c r="S297" i="2"/>
  <c r="R297" i="2"/>
  <c r="L297" i="2"/>
  <c r="T296" i="2"/>
  <c r="S296" i="2"/>
  <c r="R296" i="2"/>
  <c r="L296" i="2"/>
  <c r="T295" i="2"/>
  <c r="S295" i="2"/>
  <c r="R295" i="2"/>
  <c r="L295" i="2"/>
  <c r="T294" i="2"/>
  <c r="S294" i="2"/>
  <c r="R294" i="2"/>
  <c r="L294" i="2"/>
  <c r="T293" i="2"/>
  <c r="S293" i="2"/>
  <c r="R293" i="2"/>
  <c r="L293" i="2"/>
  <c r="T292" i="2"/>
  <c r="S292" i="2"/>
  <c r="R292" i="2"/>
  <c r="L292" i="2"/>
  <c r="T291" i="2"/>
  <c r="S291" i="2"/>
  <c r="R291" i="2"/>
  <c r="L291" i="2"/>
  <c r="T290" i="2"/>
  <c r="S290" i="2"/>
  <c r="R290" i="2"/>
  <c r="L290" i="2"/>
  <c r="T289" i="2"/>
  <c r="S289" i="2"/>
  <c r="R289" i="2"/>
  <c r="L289" i="2"/>
  <c r="T288" i="2"/>
  <c r="S288" i="2"/>
  <c r="R288" i="2"/>
  <c r="L288" i="2"/>
  <c r="T287" i="2"/>
  <c r="S287" i="2"/>
  <c r="R287" i="2"/>
  <c r="L287" i="2"/>
  <c r="T286" i="2"/>
  <c r="S286" i="2"/>
  <c r="R286" i="2"/>
  <c r="L286" i="2"/>
  <c r="T285" i="2"/>
  <c r="S285" i="2"/>
  <c r="R285" i="2"/>
  <c r="L285" i="2"/>
  <c r="T284" i="2"/>
  <c r="S284" i="2"/>
  <c r="R284" i="2"/>
  <c r="L284" i="2"/>
  <c r="T283" i="2"/>
  <c r="S283" i="2"/>
  <c r="R283" i="2"/>
  <c r="L283" i="2"/>
  <c r="T282" i="2"/>
  <c r="S282" i="2"/>
  <c r="R282" i="2"/>
  <c r="L282" i="2"/>
  <c r="T281" i="2"/>
  <c r="S281" i="2"/>
  <c r="R281" i="2"/>
  <c r="L281" i="2"/>
  <c r="T280" i="2"/>
  <c r="S280" i="2"/>
  <c r="R280" i="2"/>
  <c r="L280" i="2"/>
  <c r="T279" i="2"/>
  <c r="S279" i="2"/>
  <c r="R279" i="2"/>
  <c r="L279" i="2"/>
  <c r="T278" i="2"/>
  <c r="S278" i="2"/>
  <c r="R278" i="2"/>
  <c r="L278" i="2"/>
  <c r="T277" i="2"/>
  <c r="S277" i="2"/>
  <c r="R277" i="2"/>
  <c r="L277" i="2"/>
  <c r="T276" i="2"/>
  <c r="S276" i="2"/>
  <c r="R276" i="2"/>
  <c r="L276" i="2"/>
  <c r="T275" i="2"/>
  <c r="S275" i="2"/>
  <c r="R275" i="2"/>
  <c r="L275" i="2"/>
  <c r="T274" i="2"/>
  <c r="S274" i="2"/>
  <c r="R274" i="2"/>
  <c r="L274" i="2"/>
  <c r="T273" i="2"/>
  <c r="S273" i="2"/>
  <c r="R273" i="2"/>
  <c r="L273" i="2"/>
  <c r="T272" i="2"/>
  <c r="S272" i="2"/>
  <c r="R272" i="2"/>
  <c r="L272" i="2"/>
  <c r="T271" i="2"/>
  <c r="S271" i="2"/>
  <c r="R271" i="2"/>
  <c r="L271" i="2"/>
  <c r="T270" i="2"/>
  <c r="S270" i="2"/>
  <c r="R270" i="2"/>
  <c r="L270" i="2"/>
  <c r="T269" i="2"/>
  <c r="S269" i="2"/>
  <c r="R269" i="2"/>
  <c r="L269" i="2"/>
  <c r="T268" i="2"/>
  <c r="S268" i="2"/>
  <c r="R268" i="2"/>
  <c r="L268" i="2"/>
  <c r="T267" i="2"/>
  <c r="S267" i="2"/>
  <c r="R267" i="2"/>
  <c r="L267" i="2"/>
  <c r="T266" i="2"/>
  <c r="S266" i="2"/>
  <c r="R266" i="2"/>
  <c r="L266" i="2"/>
  <c r="T265" i="2"/>
  <c r="S265" i="2"/>
  <c r="R265" i="2"/>
  <c r="L265" i="2"/>
  <c r="T264" i="2"/>
  <c r="S264" i="2"/>
  <c r="R264" i="2"/>
  <c r="L264" i="2"/>
  <c r="T263" i="2"/>
  <c r="S263" i="2"/>
  <c r="R263" i="2"/>
  <c r="L263" i="2"/>
  <c r="T262" i="2"/>
  <c r="S262" i="2"/>
  <c r="R262" i="2"/>
  <c r="L262" i="2"/>
  <c r="T261" i="2"/>
  <c r="S261" i="2"/>
  <c r="R261" i="2"/>
  <c r="L261" i="2"/>
  <c r="T260" i="2"/>
  <c r="S260" i="2"/>
  <c r="R260" i="2"/>
  <c r="L260" i="2"/>
  <c r="T259" i="2"/>
  <c r="S259" i="2"/>
  <c r="R259" i="2"/>
  <c r="L259" i="2"/>
  <c r="T258" i="2"/>
  <c r="S258" i="2"/>
  <c r="R258" i="2"/>
  <c r="L258" i="2"/>
  <c r="T257" i="2"/>
  <c r="S257" i="2"/>
  <c r="R257" i="2"/>
  <c r="L257" i="2"/>
  <c r="T256" i="2"/>
  <c r="S256" i="2"/>
  <c r="R256" i="2"/>
  <c r="L256" i="2"/>
  <c r="T255" i="2"/>
  <c r="S255" i="2"/>
  <c r="R255" i="2"/>
  <c r="L255" i="2"/>
  <c r="T254" i="2"/>
  <c r="S254" i="2"/>
  <c r="R254" i="2"/>
  <c r="L254" i="2"/>
  <c r="T253" i="2"/>
  <c r="S253" i="2"/>
  <c r="R253" i="2"/>
  <c r="L253" i="2"/>
  <c r="T252" i="2"/>
  <c r="S252" i="2"/>
  <c r="R252" i="2"/>
  <c r="L252" i="2"/>
  <c r="T251" i="2"/>
  <c r="S251" i="2"/>
  <c r="R251" i="2"/>
  <c r="L251" i="2"/>
  <c r="T250" i="2"/>
  <c r="S250" i="2"/>
  <c r="R250" i="2"/>
  <c r="L250" i="2"/>
  <c r="T249" i="2"/>
  <c r="S249" i="2"/>
  <c r="R249" i="2"/>
  <c r="L249" i="2"/>
  <c r="T248" i="2"/>
  <c r="S248" i="2"/>
  <c r="R248" i="2"/>
  <c r="L248" i="2"/>
  <c r="T247" i="2"/>
  <c r="S247" i="2"/>
  <c r="R247" i="2"/>
  <c r="L247" i="2"/>
  <c r="T246" i="2"/>
  <c r="S246" i="2"/>
  <c r="R246" i="2"/>
  <c r="L246" i="2"/>
  <c r="T245" i="2"/>
  <c r="S245" i="2"/>
  <c r="R245" i="2"/>
  <c r="L245" i="2"/>
  <c r="T244" i="2"/>
  <c r="S244" i="2"/>
  <c r="R244" i="2"/>
  <c r="L244" i="2"/>
  <c r="T243" i="2"/>
  <c r="S243" i="2"/>
  <c r="R243" i="2"/>
  <c r="L243" i="2"/>
  <c r="T242" i="2"/>
  <c r="S242" i="2"/>
  <c r="R242" i="2"/>
  <c r="L242" i="2"/>
  <c r="T241" i="2"/>
  <c r="S241" i="2"/>
  <c r="R241" i="2"/>
  <c r="L241" i="2"/>
  <c r="T240" i="2"/>
  <c r="S240" i="2"/>
  <c r="R240" i="2"/>
  <c r="L240" i="2"/>
  <c r="T239" i="2"/>
  <c r="S239" i="2"/>
  <c r="R239" i="2"/>
  <c r="L239" i="2"/>
  <c r="T238" i="2"/>
  <c r="S238" i="2"/>
  <c r="R238" i="2"/>
  <c r="L238" i="2"/>
  <c r="T237" i="2"/>
  <c r="S237" i="2"/>
  <c r="R237" i="2"/>
  <c r="L237" i="2"/>
  <c r="T236" i="2"/>
  <c r="S236" i="2"/>
  <c r="R236" i="2"/>
  <c r="L236" i="2"/>
  <c r="T235" i="2"/>
  <c r="S235" i="2"/>
  <c r="R235" i="2"/>
  <c r="L235" i="2"/>
  <c r="T234" i="2"/>
  <c r="S234" i="2"/>
  <c r="R234" i="2"/>
  <c r="L234" i="2"/>
  <c r="T233" i="2"/>
  <c r="S233" i="2"/>
  <c r="R233" i="2"/>
  <c r="L233" i="2"/>
  <c r="T232" i="2"/>
  <c r="S232" i="2"/>
  <c r="R232" i="2"/>
  <c r="L232" i="2"/>
  <c r="T231" i="2"/>
  <c r="S231" i="2"/>
  <c r="R231" i="2"/>
  <c r="L231" i="2"/>
  <c r="T230" i="2"/>
  <c r="S230" i="2"/>
  <c r="R230" i="2"/>
  <c r="L230" i="2"/>
  <c r="T229" i="2"/>
  <c r="S229" i="2"/>
  <c r="R229" i="2"/>
  <c r="L229" i="2"/>
  <c r="T228" i="2"/>
  <c r="S228" i="2"/>
  <c r="R228" i="2"/>
  <c r="L228" i="2"/>
  <c r="T227" i="2"/>
  <c r="S227" i="2"/>
  <c r="R227" i="2"/>
  <c r="L227" i="2"/>
  <c r="T226" i="2"/>
  <c r="S226" i="2"/>
  <c r="R226" i="2"/>
  <c r="L226" i="2"/>
  <c r="T225" i="2"/>
  <c r="S225" i="2"/>
  <c r="R225" i="2"/>
  <c r="L225" i="2"/>
  <c r="T224" i="2"/>
  <c r="S224" i="2"/>
  <c r="R224" i="2"/>
  <c r="L224" i="2"/>
  <c r="T223" i="2"/>
  <c r="S223" i="2"/>
  <c r="R223" i="2"/>
  <c r="L223" i="2"/>
  <c r="T222" i="2"/>
  <c r="S222" i="2"/>
  <c r="R222" i="2"/>
  <c r="L222" i="2"/>
  <c r="T221" i="2"/>
  <c r="S221" i="2"/>
  <c r="R221" i="2"/>
  <c r="L221" i="2"/>
  <c r="T220" i="2"/>
  <c r="S220" i="2"/>
  <c r="R220" i="2"/>
  <c r="L220" i="2"/>
  <c r="T219" i="2"/>
  <c r="S219" i="2"/>
  <c r="R219" i="2"/>
  <c r="L219" i="2"/>
  <c r="T218" i="2"/>
  <c r="S218" i="2"/>
  <c r="R218" i="2"/>
  <c r="L218" i="2"/>
  <c r="T217" i="2"/>
  <c r="S217" i="2"/>
  <c r="R217" i="2"/>
  <c r="L217" i="2"/>
  <c r="T216" i="2"/>
  <c r="S216" i="2"/>
  <c r="R216" i="2"/>
  <c r="L216" i="2"/>
  <c r="T215" i="2"/>
  <c r="S215" i="2"/>
  <c r="R215" i="2"/>
  <c r="L215" i="2"/>
  <c r="T214" i="2"/>
  <c r="S214" i="2"/>
  <c r="R214" i="2"/>
  <c r="L214" i="2"/>
  <c r="T213" i="2"/>
  <c r="S213" i="2"/>
  <c r="R213" i="2"/>
  <c r="L213" i="2"/>
  <c r="T212" i="2"/>
  <c r="S212" i="2"/>
  <c r="R212" i="2"/>
  <c r="L212" i="2"/>
  <c r="T211" i="2"/>
  <c r="S211" i="2"/>
  <c r="R211" i="2"/>
  <c r="L211" i="2"/>
  <c r="T210" i="2"/>
  <c r="S210" i="2"/>
  <c r="R210" i="2"/>
  <c r="L210" i="2"/>
  <c r="T209" i="2"/>
  <c r="S209" i="2"/>
  <c r="R209" i="2"/>
  <c r="L209" i="2"/>
  <c r="T208" i="2"/>
  <c r="S208" i="2"/>
  <c r="R208" i="2"/>
  <c r="L208" i="2"/>
  <c r="T207" i="2"/>
  <c r="S207" i="2"/>
  <c r="R207" i="2"/>
  <c r="L207" i="2"/>
  <c r="T206" i="2"/>
  <c r="S206" i="2"/>
  <c r="R206" i="2"/>
  <c r="L206" i="2"/>
  <c r="T205" i="2"/>
  <c r="S205" i="2"/>
  <c r="R205" i="2"/>
  <c r="L205" i="2"/>
  <c r="T204" i="2"/>
  <c r="S204" i="2"/>
  <c r="R204" i="2"/>
  <c r="L204" i="2"/>
  <c r="T203" i="2"/>
  <c r="S203" i="2"/>
  <c r="R203" i="2"/>
  <c r="L203" i="2"/>
  <c r="T202" i="2"/>
  <c r="S202" i="2"/>
  <c r="R202" i="2"/>
  <c r="L202" i="2"/>
  <c r="T201" i="2"/>
  <c r="S201" i="2"/>
  <c r="R201" i="2"/>
  <c r="L201" i="2"/>
  <c r="T200" i="2"/>
  <c r="S200" i="2"/>
  <c r="R200" i="2"/>
  <c r="L200" i="2"/>
  <c r="T199" i="2"/>
  <c r="S199" i="2"/>
  <c r="R199" i="2"/>
  <c r="L199" i="2"/>
  <c r="T198" i="2"/>
  <c r="S198" i="2"/>
  <c r="R198" i="2"/>
  <c r="L198" i="2"/>
  <c r="T197" i="2"/>
  <c r="S197" i="2"/>
  <c r="R197" i="2"/>
  <c r="L197" i="2"/>
  <c r="T196" i="2"/>
  <c r="S196" i="2"/>
  <c r="R196" i="2"/>
  <c r="L196" i="2"/>
  <c r="T195" i="2"/>
  <c r="S195" i="2"/>
  <c r="R195" i="2"/>
  <c r="L195" i="2"/>
  <c r="T194" i="2"/>
  <c r="S194" i="2"/>
  <c r="R194" i="2"/>
  <c r="L194" i="2"/>
  <c r="T193" i="2"/>
  <c r="S193" i="2"/>
  <c r="R193" i="2"/>
  <c r="L193" i="2"/>
  <c r="T192" i="2"/>
  <c r="S192" i="2"/>
  <c r="R192" i="2"/>
  <c r="L192" i="2"/>
  <c r="T191" i="2"/>
  <c r="S191" i="2"/>
  <c r="R191" i="2"/>
  <c r="L191" i="2"/>
  <c r="T190" i="2"/>
  <c r="S190" i="2"/>
  <c r="R190" i="2"/>
  <c r="L190" i="2"/>
  <c r="T189" i="2"/>
  <c r="S189" i="2"/>
  <c r="R189" i="2"/>
  <c r="L189" i="2"/>
  <c r="T188" i="2"/>
  <c r="S188" i="2"/>
  <c r="R188" i="2"/>
  <c r="L188" i="2"/>
  <c r="T187" i="2"/>
  <c r="S187" i="2"/>
  <c r="R187" i="2"/>
  <c r="L187" i="2"/>
  <c r="T186" i="2"/>
  <c r="S186" i="2"/>
  <c r="R186" i="2"/>
  <c r="L186" i="2"/>
  <c r="T185" i="2"/>
  <c r="S185" i="2"/>
  <c r="R185" i="2"/>
  <c r="L185" i="2"/>
  <c r="T184" i="2"/>
  <c r="S184" i="2"/>
  <c r="R184" i="2"/>
  <c r="L184" i="2"/>
  <c r="T183" i="2"/>
  <c r="S183" i="2"/>
  <c r="R183" i="2"/>
  <c r="L183" i="2"/>
  <c r="T182" i="2"/>
  <c r="S182" i="2"/>
  <c r="R182" i="2"/>
  <c r="L182" i="2"/>
  <c r="T181" i="2"/>
  <c r="S181" i="2"/>
  <c r="R181" i="2"/>
  <c r="L181" i="2"/>
  <c r="T180" i="2"/>
  <c r="S180" i="2"/>
  <c r="R180" i="2"/>
  <c r="L180" i="2"/>
  <c r="T179" i="2"/>
  <c r="S179" i="2"/>
  <c r="R179" i="2"/>
  <c r="L179" i="2"/>
  <c r="T178" i="2"/>
  <c r="S178" i="2"/>
  <c r="R178" i="2"/>
  <c r="L178" i="2"/>
  <c r="T177" i="2"/>
  <c r="S177" i="2"/>
  <c r="R177" i="2"/>
  <c r="L177" i="2"/>
  <c r="T176" i="2"/>
  <c r="S176" i="2"/>
  <c r="R176" i="2"/>
  <c r="L176" i="2"/>
  <c r="T175" i="2"/>
  <c r="S175" i="2"/>
  <c r="R175" i="2"/>
  <c r="L175" i="2"/>
  <c r="T174" i="2"/>
  <c r="S174" i="2"/>
  <c r="R174" i="2"/>
  <c r="L174" i="2"/>
  <c r="T173" i="2"/>
  <c r="S173" i="2"/>
  <c r="R173" i="2"/>
  <c r="L173" i="2"/>
  <c r="T172" i="2"/>
  <c r="S172" i="2"/>
  <c r="R172" i="2"/>
  <c r="L172" i="2"/>
  <c r="T171" i="2"/>
  <c r="S171" i="2"/>
  <c r="R171" i="2"/>
  <c r="L171" i="2"/>
  <c r="T170" i="2"/>
  <c r="S170" i="2"/>
  <c r="R170" i="2"/>
  <c r="L170" i="2"/>
  <c r="T169" i="2"/>
  <c r="S169" i="2"/>
  <c r="R169" i="2"/>
  <c r="L169" i="2"/>
  <c r="T168" i="2"/>
  <c r="S168" i="2"/>
  <c r="R168" i="2"/>
  <c r="L168" i="2"/>
  <c r="T167" i="2"/>
  <c r="S167" i="2"/>
  <c r="R167" i="2"/>
  <c r="L167" i="2"/>
  <c r="T166" i="2"/>
  <c r="S166" i="2"/>
  <c r="R166" i="2"/>
  <c r="L166" i="2"/>
  <c r="T165" i="2"/>
  <c r="S165" i="2"/>
  <c r="R165" i="2"/>
  <c r="L165" i="2"/>
  <c r="T164" i="2"/>
  <c r="S164" i="2"/>
  <c r="R164" i="2"/>
  <c r="L164" i="2"/>
  <c r="T163" i="2"/>
  <c r="S163" i="2"/>
  <c r="R163" i="2"/>
  <c r="L163" i="2"/>
  <c r="T162" i="2"/>
  <c r="S162" i="2"/>
  <c r="R162" i="2"/>
  <c r="L162" i="2"/>
  <c r="T161" i="2"/>
  <c r="S161" i="2"/>
  <c r="R161" i="2"/>
  <c r="L161" i="2"/>
  <c r="T160" i="2"/>
  <c r="S160" i="2"/>
  <c r="R160" i="2"/>
  <c r="L160" i="2"/>
  <c r="T159" i="2"/>
  <c r="S159" i="2"/>
  <c r="R159" i="2"/>
  <c r="L159" i="2"/>
  <c r="T158" i="2"/>
  <c r="S158" i="2"/>
  <c r="R158" i="2"/>
  <c r="L158" i="2"/>
  <c r="T157" i="2"/>
  <c r="S157" i="2"/>
  <c r="R157" i="2"/>
  <c r="L157" i="2"/>
  <c r="T156" i="2"/>
  <c r="S156" i="2"/>
  <c r="R156" i="2"/>
  <c r="L156" i="2"/>
  <c r="T155" i="2"/>
  <c r="S155" i="2"/>
  <c r="R155" i="2"/>
  <c r="L155" i="2"/>
  <c r="T154" i="2"/>
  <c r="S154" i="2"/>
  <c r="R154" i="2"/>
  <c r="L154" i="2"/>
  <c r="T153" i="2"/>
  <c r="S153" i="2"/>
  <c r="R153" i="2"/>
  <c r="L153" i="2"/>
  <c r="T152" i="2"/>
  <c r="S152" i="2"/>
  <c r="R152" i="2"/>
  <c r="L152" i="2"/>
  <c r="T151" i="2"/>
  <c r="S151" i="2"/>
  <c r="R151" i="2"/>
  <c r="L151" i="2"/>
  <c r="T150" i="2"/>
  <c r="S150" i="2"/>
  <c r="R150" i="2"/>
  <c r="L150" i="2"/>
  <c r="T149" i="2"/>
  <c r="S149" i="2"/>
  <c r="R149" i="2"/>
  <c r="L149" i="2"/>
  <c r="T148" i="2"/>
  <c r="S148" i="2"/>
  <c r="R148" i="2"/>
  <c r="L148" i="2"/>
  <c r="T147" i="2"/>
  <c r="S147" i="2"/>
  <c r="R147" i="2"/>
  <c r="L147" i="2"/>
  <c r="T146" i="2"/>
  <c r="S146" i="2"/>
  <c r="R146" i="2"/>
  <c r="L146" i="2"/>
  <c r="T145" i="2"/>
  <c r="S145" i="2"/>
  <c r="R145" i="2"/>
  <c r="L145" i="2"/>
  <c r="T144" i="2"/>
  <c r="S144" i="2"/>
  <c r="R144" i="2"/>
  <c r="L144" i="2"/>
  <c r="T143" i="2"/>
  <c r="S143" i="2"/>
  <c r="R143" i="2"/>
  <c r="L143" i="2"/>
  <c r="T142" i="2"/>
  <c r="S142" i="2"/>
  <c r="R142" i="2"/>
  <c r="L142" i="2"/>
  <c r="T141" i="2"/>
  <c r="S141" i="2"/>
  <c r="R141" i="2"/>
  <c r="L141" i="2"/>
  <c r="T140" i="2"/>
  <c r="S140" i="2"/>
  <c r="R140" i="2"/>
  <c r="L140" i="2"/>
  <c r="T139" i="2"/>
  <c r="S139" i="2"/>
  <c r="R139" i="2"/>
  <c r="L139" i="2"/>
  <c r="T138" i="2"/>
  <c r="S138" i="2"/>
  <c r="R138" i="2"/>
  <c r="L138" i="2"/>
  <c r="T137" i="2"/>
  <c r="S137" i="2"/>
  <c r="R137" i="2"/>
  <c r="L137" i="2"/>
  <c r="T136" i="2"/>
  <c r="S136" i="2"/>
  <c r="R136" i="2"/>
  <c r="L136" i="2"/>
  <c r="T135" i="2"/>
  <c r="S135" i="2"/>
  <c r="R135" i="2"/>
  <c r="L135" i="2"/>
  <c r="T134" i="2"/>
  <c r="S134" i="2"/>
  <c r="R134" i="2"/>
  <c r="L134" i="2"/>
  <c r="T133" i="2"/>
  <c r="S133" i="2"/>
  <c r="R133" i="2"/>
  <c r="L133" i="2"/>
  <c r="T132" i="2"/>
  <c r="S132" i="2"/>
  <c r="R132" i="2"/>
  <c r="L132" i="2"/>
  <c r="T131" i="2"/>
  <c r="S131" i="2"/>
  <c r="R131" i="2"/>
  <c r="L131" i="2"/>
  <c r="T130" i="2"/>
  <c r="S130" i="2"/>
  <c r="R130" i="2"/>
  <c r="L130" i="2"/>
  <c r="T129" i="2"/>
  <c r="S129" i="2"/>
  <c r="R129" i="2"/>
  <c r="L129" i="2"/>
  <c r="T128" i="2"/>
  <c r="S128" i="2"/>
  <c r="R128" i="2"/>
  <c r="L128" i="2"/>
  <c r="T127" i="2"/>
  <c r="S127" i="2"/>
  <c r="R127" i="2"/>
  <c r="L127" i="2"/>
  <c r="T126" i="2"/>
  <c r="S126" i="2"/>
  <c r="R126" i="2"/>
  <c r="L126" i="2"/>
  <c r="T125" i="2"/>
  <c r="S125" i="2"/>
  <c r="R125" i="2"/>
  <c r="L125" i="2"/>
  <c r="T124" i="2"/>
  <c r="S124" i="2"/>
  <c r="R124" i="2"/>
  <c r="L124" i="2"/>
  <c r="T123" i="2"/>
  <c r="S123" i="2"/>
  <c r="R123" i="2"/>
  <c r="L123" i="2"/>
  <c r="T122" i="2"/>
  <c r="S122" i="2"/>
  <c r="R122" i="2"/>
  <c r="L122" i="2"/>
  <c r="T121" i="2"/>
  <c r="S121" i="2"/>
  <c r="R121" i="2"/>
  <c r="L121" i="2"/>
  <c r="T120" i="2"/>
  <c r="S120" i="2"/>
  <c r="R120" i="2"/>
  <c r="L120" i="2"/>
  <c r="T119" i="2"/>
  <c r="S119" i="2"/>
  <c r="R119" i="2"/>
  <c r="L119" i="2"/>
  <c r="T118" i="2"/>
  <c r="S118" i="2"/>
  <c r="R118" i="2"/>
  <c r="L118" i="2"/>
  <c r="T117" i="2"/>
  <c r="S117" i="2"/>
  <c r="R117" i="2"/>
  <c r="L117" i="2"/>
  <c r="T116" i="2"/>
  <c r="S116" i="2"/>
  <c r="R116" i="2"/>
  <c r="L116" i="2"/>
  <c r="T115" i="2"/>
  <c r="S115" i="2"/>
  <c r="R115" i="2"/>
  <c r="L115" i="2"/>
  <c r="T114" i="2"/>
  <c r="S114" i="2"/>
  <c r="R114" i="2"/>
  <c r="L114" i="2"/>
  <c r="T113" i="2"/>
  <c r="S113" i="2"/>
  <c r="R113" i="2"/>
  <c r="L113" i="2"/>
  <c r="T112" i="2"/>
  <c r="S112" i="2"/>
  <c r="R112" i="2"/>
  <c r="L112" i="2"/>
  <c r="T111" i="2"/>
  <c r="S111" i="2"/>
  <c r="R111" i="2"/>
  <c r="L111" i="2"/>
  <c r="T110" i="2"/>
  <c r="S110" i="2"/>
  <c r="R110" i="2"/>
  <c r="L110" i="2"/>
  <c r="T109" i="2"/>
  <c r="S109" i="2"/>
  <c r="R109" i="2"/>
  <c r="L109" i="2"/>
  <c r="T108" i="2"/>
  <c r="S108" i="2"/>
  <c r="R108" i="2"/>
  <c r="L108" i="2"/>
  <c r="T107" i="2"/>
  <c r="S107" i="2"/>
  <c r="R107" i="2"/>
  <c r="L107" i="2"/>
  <c r="T106" i="2"/>
  <c r="S106" i="2"/>
  <c r="R106" i="2"/>
  <c r="L106" i="2"/>
  <c r="T105" i="2"/>
  <c r="S105" i="2"/>
  <c r="R105" i="2"/>
  <c r="L105" i="2"/>
  <c r="T104" i="2"/>
  <c r="S104" i="2"/>
  <c r="R104" i="2"/>
  <c r="L104" i="2"/>
  <c r="T103" i="2"/>
  <c r="S103" i="2"/>
  <c r="R103" i="2"/>
  <c r="L103" i="2"/>
  <c r="T102" i="2"/>
  <c r="S102" i="2"/>
  <c r="R102" i="2"/>
  <c r="L102" i="2"/>
  <c r="T101" i="2"/>
  <c r="S101" i="2"/>
  <c r="R101" i="2"/>
  <c r="L101" i="2"/>
  <c r="T100" i="2"/>
  <c r="S100" i="2"/>
  <c r="R100" i="2"/>
  <c r="L100" i="2"/>
  <c r="T99" i="2"/>
  <c r="S99" i="2"/>
  <c r="R99" i="2"/>
  <c r="L99" i="2"/>
  <c r="T98" i="2"/>
  <c r="S98" i="2"/>
  <c r="R98" i="2"/>
  <c r="L98" i="2"/>
  <c r="T97" i="2"/>
  <c r="S97" i="2"/>
  <c r="R97" i="2"/>
  <c r="L97" i="2"/>
  <c r="T96" i="2"/>
  <c r="S96" i="2"/>
  <c r="R96" i="2"/>
  <c r="L96" i="2"/>
  <c r="T95" i="2"/>
  <c r="S95" i="2"/>
  <c r="R95" i="2"/>
  <c r="L95" i="2"/>
  <c r="T94" i="2"/>
  <c r="S94" i="2"/>
  <c r="R94" i="2"/>
  <c r="L94" i="2"/>
  <c r="T93" i="2"/>
  <c r="S93" i="2"/>
  <c r="R93" i="2"/>
  <c r="L93" i="2"/>
  <c r="T92" i="2"/>
  <c r="S92" i="2"/>
  <c r="R92" i="2"/>
  <c r="L92" i="2"/>
  <c r="T91" i="2"/>
  <c r="S91" i="2"/>
  <c r="R91" i="2"/>
  <c r="L91" i="2"/>
  <c r="T90" i="2"/>
  <c r="S90" i="2"/>
  <c r="R90" i="2"/>
  <c r="L90" i="2"/>
  <c r="T89" i="2"/>
  <c r="S89" i="2"/>
  <c r="R89" i="2"/>
  <c r="L89" i="2"/>
  <c r="T88" i="2"/>
  <c r="S88" i="2"/>
  <c r="R88" i="2"/>
  <c r="L88" i="2"/>
  <c r="T87" i="2"/>
  <c r="S87" i="2"/>
  <c r="R87" i="2"/>
  <c r="L87" i="2"/>
  <c r="T86" i="2"/>
  <c r="S86" i="2"/>
  <c r="R86" i="2"/>
  <c r="L86" i="2"/>
  <c r="T85" i="2"/>
  <c r="S85" i="2"/>
  <c r="R85" i="2"/>
  <c r="L85" i="2"/>
  <c r="T84" i="2"/>
  <c r="S84" i="2"/>
  <c r="R84" i="2"/>
  <c r="L84" i="2"/>
  <c r="T83" i="2"/>
  <c r="S83" i="2"/>
  <c r="R83" i="2"/>
  <c r="L83" i="2"/>
  <c r="T82" i="2"/>
  <c r="S82" i="2"/>
  <c r="R82" i="2"/>
  <c r="L82" i="2"/>
  <c r="T81" i="2"/>
  <c r="S81" i="2"/>
  <c r="R81" i="2"/>
  <c r="L81" i="2"/>
  <c r="T80" i="2"/>
  <c r="S80" i="2"/>
  <c r="R80" i="2"/>
  <c r="L80" i="2"/>
  <c r="T79" i="2"/>
  <c r="S79" i="2"/>
  <c r="R79" i="2"/>
  <c r="L79" i="2"/>
  <c r="T78" i="2"/>
  <c r="S78" i="2"/>
  <c r="R78" i="2"/>
  <c r="L78" i="2"/>
  <c r="T77" i="2"/>
  <c r="S77" i="2"/>
  <c r="R77" i="2"/>
  <c r="L77" i="2"/>
  <c r="T76" i="2"/>
  <c r="S76" i="2"/>
  <c r="R76" i="2"/>
  <c r="L76" i="2"/>
  <c r="T75" i="2"/>
  <c r="S75" i="2"/>
  <c r="R75" i="2"/>
  <c r="L75" i="2"/>
  <c r="T74" i="2"/>
  <c r="S74" i="2"/>
  <c r="R74" i="2"/>
  <c r="L74" i="2"/>
  <c r="T73" i="2"/>
  <c r="S73" i="2"/>
  <c r="R73" i="2"/>
  <c r="L73" i="2"/>
  <c r="T72" i="2"/>
  <c r="S72" i="2"/>
  <c r="R72" i="2"/>
  <c r="L72" i="2"/>
  <c r="T71" i="2"/>
  <c r="S71" i="2"/>
  <c r="R71" i="2"/>
  <c r="L71" i="2"/>
  <c r="T70" i="2"/>
  <c r="S70" i="2"/>
  <c r="R70" i="2"/>
  <c r="L70" i="2"/>
  <c r="T69" i="2"/>
  <c r="S69" i="2"/>
  <c r="R69" i="2"/>
  <c r="O69" i="2"/>
  <c r="L69" i="2"/>
  <c r="AU68" i="2"/>
  <c r="T68" i="2"/>
  <c r="S68" i="2"/>
  <c r="R68" i="2"/>
  <c r="O68" i="2"/>
  <c r="L68" i="2"/>
  <c r="AU67" i="2"/>
  <c r="T67" i="2"/>
  <c r="S67" i="2"/>
  <c r="R67" i="2"/>
  <c r="O67" i="2"/>
  <c r="L67" i="2"/>
  <c r="AU66" i="2"/>
  <c r="T66" i="2"/>
  <c r="S66" i="2"/>
  <c r="R66" i="2"/>
  <c r="O66" i="2"/>
  <c r="L66" i="2"/>
  <c r="AU65" i="2"/>
  <c r="AM65" i="2"/>
  <c r="T65" i="2"/>
  <c r="S65" i="2"/>
  <c r="R65" i="2"/>
  <c r="O65" i="2"/>
  <c r="L65" i="2"/>
  <c r="AM64" i="2"/>
  <c r="AU64" i="2" s="1"/>
  <c r="T64" i="2"/>
  <c r="S64" i="2"/>
  <c r="R64" i="2"/>
  <c r="O64" i="2"/>
  <c r="L64" i="2"/>
  <c r="AM63" i="2"/>
  <c r="AU63" i="2" s="1"/>
  <c r="T63" i="2"/>
  <c r="S63" i="2"/>
  <c r="R63" i="2"/>
  <c r="O63" i="2"/>
  <c r="L63" i="2"/>
  <c r="AU62" i="2"/>
  <c r="AM62" i="2"/>
  <c r="T62" i="2"/>
  <c r="S62" i="2"/>
  <c r="R62" i="2"/>
  <c r="O62" i="2"/>
  <c r="L62" i="2"/>
  <c r="AU61" i="2"/>
  <c r="AM61" i="2"/>
  <c r="T61" i="2"/>
  <c r="S61" i="2"/>
  <c r="R61" i="2"/>
  <c r="O61" i="2"/>
  <c r="L61" i="2"/>
  <c r="AM60" i="2"/>
  <c r="AU60" i="2" s="1"/>
  <c r="T60" i="2"/>
  <c r="S60" i="2"/>
  <c r="R60" i="2"/>
  <c r="O60" i="2"/>
  <c r="L60" i="2"/>
  <c r="AM59" i="2"/>
  <c r="AU59" i="2" s="1"/>
  <c r="T59" i="2"/>
  <c r="S59" i="2"/>
  <c r="R59" i="2"/>
  <c r="O59" i="2"/>
  <c r="L59" i="2"/>
  <c r="AU58" i="2"/>
  <c r="AM58" i="2"/>
  <c r="T58" i="2"/>
  <c r="S58" i="2"/>
  <c r="R58" i="2"/>
  <c r="O58" i="2"/>
  <c r="L58" i="2"/>
  <c r="AU57" i="2"/>
  <c r="AM57" i="2"/>
  <c r="T57" i="2"/>
  <c r="S57" i="2"/>
  <c r="R57" i="2"/>
  <c r="O57" i="2"/>
  <c r="L57" i="2"/>
  <c r="AM56" i="2"/>
  <c r="AU56" i="2" s="1"/>
  <c r="T56" i="2"/>
  <c r="S56" i="2"/>
  <c r="R56" i="2"/>
  <c r="O56" i="2"/>
  <c r="L56" i="2"/>
  <c r="AM55" i="2"/>
  <c r="AU55" i="2" s="1"/>
  <c r="T55" i="2"/>
  <c r="S55" i="2"/>
  <c r="R55" i="2"/>
  <c r="O55" i="2"/>
  <c r="L55" i="2"/>
  <c r="AM54" i="2"/>
  <c r="AU54" i="2" s="1"/>
  <c r="T54" i="2"/>
  <c r="S54" i="2"/>
  <c r="R54" i="2"/>
  <c r="O54" i="2"/>
  <c r="L54" i="2"/>
  <c r="AU53" i="2"/>
  <c r="AM53" i="2"/>
  <c r="T53" i="2"/>
  <c r="S53" i="2"/>
  <c r="R53" i="2"/>
  <c r="O53" i="2"/>
  <c r="L53" i="2"/>
  <c r="AM52" i="2"/>
  <c r="AU52" i="2" s="1"/>
  <c r="T52" i="2"/>
  <c r="S52" i="2"/>
  <c r="R52" i="2"/>
  <c r="O52" i="2"/>
  <c r="L52" i="2"/>
  <c r="AM51" i="2"/>
  <c r="AU51" i="2" s="1"/>
  <c r="T51" i="2"/>
  <c r="S51" i="2"/>
  <c r="R51" i="2"/>
  <c r="O51" i="2"/>
  <c r="L51" i="2"/>
  <c r="AM50" i="2"/>
  <c r="AU50" i="2" s="1"/>
  <c r="T50" i="2"/>
  <c r="S50" i="2"/>
  <c r="R50" i="2"/>
  <c r="O50" i="2"/>
  <c r="L50" i="2"/>
  <c r="AU49" i="2"/>
  <c r="AM49" i="2"/>
  <c r="T49" i="2"/>
  <c r="S49" i="2"/>
  <c r="R49" i="2"/>
  <c r="O49" i="2"/>
  <c r="L49" i="2"/>
  <c r="AM48" i="2"/>
  <c r="AU48" i="2" s="1"/>
  <c r="T48" i="2"/>
  <c r="S48" i="2"/>
  <c r="R48" i="2"/>
  <c r="O48" i="2"/>
  <c r="L48" i="2"/>
  <c r="AU47" i="2"/>
  <c r="AM47" i="2"/>
  <c r="T47" i="2"/>
  <c r="S47" i="2"/>
  <c r="R47" i="2"/>
  <c r="O47" i="2"/>
  <c r="L47" i="2"/>
  <c r="AU46" i="2"/>
  <c r="AM46" i="2"/>
  <c r="T46" i="2"/>
  <c r="S46" i="2"/>
  <c r="R46" i="2"/>
  <c r="O46" i="2"/>
  <c r="L46" i="2"/>
  <c r="AU45" i="2"/>
  <c r="AM45" i="2"/>
  <c r="T45" i="2"/>
  <c r="S45" i="2"/>
  <c r="R45" i="2"/>
  <c r="O45" i="2"/>
  <c r="L45" i="2"/>
  <c r="AM44" i="2"/>
  <c r="AU44" i="2" s="1"/>
  <c r="T44" i="2"/>
  <c r="S44" i="2"/>
  <c r="R44" i="2"/>
  <c r="O44" i="2"/>
  <c r="L44" i="2"/>
  <c r="AU43" i="2"/>
  <c r="AM43" i="2"/>
  <c r="T43" i="2"/>
  <c r="S43" i="2"/>
  <c r="R43" i="2"/>
  <c r="O43" i="2"/>
  <c r="L43" i="2"/>
  <c r="AU42" i="2"/>
  <c r="AM42" i="2"/>
  <c r="T42" i="2"/>
  <c r="S42" i="2"/>
  <c r="R42" i="2"/>
  <c r="O42" i="2"/>
  <c r="L42" i="2"/>
  <c r="AU41" i="2"/>
  <c r="AM41" i="2"/>
  <c r="T41" i="2"/>
  <c r="S41" i="2"/>
  <c r="R41" i="2"/>
  <c r="O41" i="2"/>
  <c r="L41" i="2"/>
  <c r="AM40" i="2"/>
  <c r="AU40" i="2" s="1"/>
  <c r="T40" i="2"/>
  <c r="S40" i="2"/>
  <c r="R40" i="2"/>
  <c r="O40" i="2"/>
  <c r="L40" i="2"/>
  <c r="AU39" i="2"/>
  <c r="AM39" i="2"/>
  <c r="T39" i="2"/>
  <c r="S39" i="2"/>
  <c r="R39" i="2"/>
  <c r="O39" i="2"/>
  <c r="L39" i="2"/>
  <c r="AU38" i="2"/>
  <c r="AM38" i="2"/>
  <c r="T38" i="2"/>
  <c r="S38" i="2"/>
  <c r="R38" i="2"/>
  <c r="O38" i="2"/>
  <c r="L38" i="2"/>
  <c r="AU37" i="2"/>
  <c r="AM37" i="2"/>
  <c r="T37" i="2"/>
  <c r="S37" i="2"/>
  <c r="R37" i="2"/>
  <c r="O37" i="2"/>
  <c r="L37" i="2"/>
  <c r="AM36" i="2"/>
  <c r="AU36" i="2" s="1"/>
  <c r="T36" i="2"/>
  <c r="S36" i="2"/>
  <c r="R36" i="2"/>
  <c r="O36" i="2"/>
  <c r="L36" i="2"/>
  <c r="AU35" i="2"/>
  <c r="AM35" i="2"/>
  <c r="T35" i="2"/>
  <c r="S35" i="2"/>
  <c r="R35" i="2"/>
  <c r="O35" i="2"/>
  <c r="L35" i="2"/>
  <c r="AU34" i="2"/>
  <c r="AM34" i="2"/>
  <c r="T34" i="2"/>
  <c r="S34" i="2"/>
  <c r="R34" i="2"/>
  <c r="O34" i="2"/>
  <c r="L34" i="2"/>
  <c r="AU33" i="2"/>
  <c r="AM33" i="2"/>
  <c r="T33" i="2"/>
  <c r="S33" i="2"/>
  <c r="R33" i="2"/>
  <c r="O33" i="2"/>
  <c r="L33" i="2"/>
  <c r="AM32" i="2"/>
  <c r="AU32" i="2" s="1"/>
  <c r="T32" i="2"/>
  <c r="S32" i="2"/>
  <c r="R32" i="2"/>
  <c r="O32" i="2"/>
  <c r="L32" i="2"/>
  <c r="AU31" i="2"/>
  <c r="AM31" i="2"/>
  <c r="T31" i="2"/>
  <c r="S31" i="2"/>
  <c r="R31" i="2"/>
  <c r="O31" i="2"/>
  <c r="L31" i="2"/>
  <c r="AU30" i="2"/>
  <c r="AM30" i="2"/>
  <c r="T30" i="2"/>
  <c r="S30" i="2"/>
  <c r="R30" i="2"/>
  <c r="O30" i="2"/>
  <c r="L30" i="2"/>
  <c r="AU29" i="2"/>
  <c r="AM29" i="2"/>
  <c r="T29" i="2"/>
  <c r="S29" i="2"/>
  <c r="R29" i="2"/>
  <c r="O29" i="2"/>
  <c r="L29" i="2"/>
  <c r="AM28" i="2"/>
  <c r="AU28" i="2" s="1"/>
  <c r="T28" i="2"/>
  <c r="S28" i="2"/>
  <c r="R28" i="2"/>
  <c r="O28" i="2"/>
  <c r="L28" i="2"/>
  <c r="AU27" i="2"/>
  <c r="AM27" i="2"/>
  <c r="T27" i="2"/>
  <c r="S27" i="2"/>
  <c r="R27" i="2"/>
  <c r="O27" i="2"/>
  <c r="L27" i="2"/>
  <c r="AM26" i="2"/>
  <c r="AU26" i="2" s="1"/>
  <c r="T26" i="2"/>
  <c r="S26" i="2"/>
  <c r="R26" i="2"/>
  <c r="O26" i="2"/>
  <c r="L26" i="2"/>
  <c r="AU25" i="2"/>
  <c r="AM25" i="2"/>
  <c r="T25" i="2"/>
  <c r="S25" i="2"/>
  <c r="R25" i="2"/>
  <c r="O25" i="2"/>
  <c r="L25" i="2"/>
  <c r="AM24" i="2"/>
  <c r="AU24" i="2" s="1"/>
  <c r="T24" i="2"/>
  <c r="S24" i="2"/>
  <c r="R24" i="2"/>
  <c r="O24" i="2"/>
  <c r="L24" i="2"/>
  <c r="AU23" i="2"/>
  <c r="AM23" i="2"/>
  <c r="T23" i="2"/>
  <c r="S23" i="2"/>
  <c r="R23" i="2"/>
  <c r="O23" i="2"/>
  <c r="L23" i="2"/>
  <c r="AU22" i="2"/>
  <c r="AM22" i="2"/>
  <c r="T22" i="2"/>
  <c r="S22" i="2"/>
  <c r="R22" i="2"/>
  <c r="O22" i="2"/>
  <c r="L22" i="2"/>
  <c r="AU21" i="2"/>
  <c r="AM21" i="2"/>
  <c r="T21" i="2"/>
  <c r="S21" i="2"/>
  <c r="R21" i="2"/>
  <c r="O21" i="2"/>
  <c r="L21" i="2"/>
  <c r="AM20" i="2"/>
  <c r="AU20" i="2" s="1"/>
  <c r="T20" i="2"/>
  <c r="S20" i="2"/>
  <c r="R20" i="2"/>
  <c r="O20" i="2"/>
  <c r="L20" i="2"/>
  <c r="AU19" i="2"/>
  <c r="AM19" i="2"/>
  <c r="T19" i="2"/>
  <c r="S19" i="2"/>
  <c r="R19" i="2"/>
  <c r="O19" i="2"/>
  <c r="L19" i="2"/>
  <c r="AM18" i="2"/>
  <c r="AU18" i="2" s="1"/>
  <c r="T18" i="2"/>
  <c r="S18" i="2"/>
  <c r="R18" i="2"/>
  <c r="O18" i="2"/>
  <c r="L18" i="2"/>
  <c r="AU17" i="2"/>
  <c r="AM17" i="2"/>
  <c r="T17" i="2"/>
  <c r="S17" i="2"/>
  <c r="R17" i="2"/>
  <c r="O17" i="2"/>
  <c r="L17" i="2"/>
  <c r="AM16" i="2"/>
  <c r="AU16" i="2" s="1"/>
  <c r="T16" i="2"/>
  <c r="S16" i="2"/>
  <c r="R16" i="2"/>
  <c r="O16" i="2"/>
  <c r="L16" i="2"/>
  <c r="AM15" i="2"/>
  <c r="AU15" i="2" s="1"/>
  <c r="T15" i="2"/>
  <c r="S15" i="2"/>
  <c r="R15" i="2"/>
  <c r="O15" i="2"/>
  <c r="L15" i="2"/>
  <c r="AM14" i="2"/>
  <c r="AU14" i="2" s="1"/>
  <c r="T14" i="2"/>
  <c r="S14" i="2"/>
  <c r="R14" i="2"/>
  <c r="O14" i="2"/>
  <c r="L14" i="2"/>
  <c r="AU13" i="2"/>
  <c r="AM13" i="2"/>
  <c r="T13" i="2"/>
  <c r="S13" i="2"/>
  <c r="R13" i="2"/>
  <c r="O13" i="2"/>
  <c r="L13" i="2"/>
  <c r="AU12" i="2"/>
  <c r="AM12" i="2"/>
  <c r="T12" i="2"/>
  <c r="S12" i="2"/>
  <c r="R12" i="2"/>
  <c r="O12" i="2"/>
  <c r="L12" i="2"/>
  <c r="AU11" i="2"/>
  <c r="AM11" i="2"/>
  <c r="T11" i="2"/>
  <c r="S11" i="2"/>
  <c r="R11" i="2"/>
  <c r="O11" i="2"/>
  <c r="L11" i="2"/>
  <c r="AU10" i="2"/>
  <c r="AM10" i="2"/>
  <c r="AC10" i="2"/>
  <c r="T10" i="2"/>
  <c r="S10" i="2"/>
  <c r="R10" i="2"/>
  <c r="O10" i="2"/>
  <c r="L10" i="2"/>
  <c r="AU9" i="2"/>
  <c r="AM9" i="2"/>
  <c r="AC9" i="2"/>
  <c r="T9" i="2"/>
  <c r="S9" i="2"/>
  <c r="R9" i="2"/>
  <c r="O9" i="2"/>
  <c r="L9" i="2"/>
  <c r="AM8" i="2"/>
  <c r="AU8" i="2" s="1"/>
  <c r="AC8" i="2"/>
  <c r="T8" i="2"/>
  <c r="S8" i="2"/>
  <c r="R8" i="2"/>
  <c r="O8" i="2"/>
  <c r="L8" i="2"/>
  <c r="AC11" i="2" s="1"/>
  <c r="AM7" i="2"/>
  <c r="AU7" i="2" s="1"/>
  <c r="AC7" i="2"/>
  <c r="T7" i="2"/>
  <c r="S7" i="2"/>
  <c r="R7" i="2"/>
  <c r="O7" i="2"/>
  <c r="L7" i="2"/>
  <c r="AC12" i="2" s="1"/>
  <c r="AM6" i="2"/>
  <c r="AU6" i="2" s="1"/>
  <c r="AC6" i="2"/>
  <c r="T6" i="2"/>
  <c r="S6" i="2"/>
  <c r="R6" i="2"/>
  <c r="O6" i="2"/>
  <c r="L6" i="2"/>
  <c r="AC13" i="2" s="1"/>
  <c r="AU5" i="2"/>
  <c r="AM5" i="2"/>
  <c r="AD5" i="2" a="1"/>
  <c r="AD5" i="2" s="1"/>
  <c r="AC5" i="2"/>
  <c r="T5" i="2"/>
  <c r="S5" i="2"/>
  <c r="R5" i="2"/>
  <c r="O5" i="2"/>
  <c r="L5" i="2"/>
  <c r="Q142" i="2" s="1"/>
  <c r="V142" i="2" s="1"/>
  <c r="AU4" i="2"/>
  <c r="AM4" i="2"/>
  <c r="AC4" i="2"/>
  <c r="T4" i="2"/>
  <c r="S4" i="2"/>
  <c r="R4" i="2"/>
  <c r="Q4" i="2"/>
  <c r="V4" i="2" s="1"/>
  <c r="L4" i="2"/>
  <c r="AD11" i="2" s="1" a="1"/>
  <c r="AD11" i="2" s="1"/>
  <c r="E11" i="3" l="1"/>
  <c r="E21" i="3"/>
  <c r="E28" i="3"/>
  <c r="E32" i="3"/>
  <c r="E25" i="3"/>
  <c r="E36" i="3"/>
  <c r="E40" i="3"/>
  <c r="E43" i="3"/>
  <c r="E51" i="3"/>
  <c r="E5" i="3"/>
  <c r="E15" i="3"/>
  <c r="E29" i="3"/>
  <c r="E33" i="3"/>
  <c r="E61" i="3"/>
  <c r="E9" i="3"/>
  <c r="E19" i="3"/>
  <c r="E37" i="3"/>
  <c r="E16" i="3"/>
  <c r="E30" i="3"/>
  <c r="E3" i="3"/>
  <c r="E13" i="3"/>
  <c r="E23" i="3"/>
  <c r="E38" i="3"/>
  <c r="E67" i="3"/>
  <c r="E27" i="3"/>
  <c r="E31" i="3"/>
  <c r="E7" i="3"/>
  <c r="E24" i="3"/>
  <c r="E35" i="3"/>
  <c r="E39" i="3"/>
  <c r="K7" i="3"/>
  <c r="E10" i="3"/>
  <c r="K15" i="3"/>
  <c r="E18" i="3"/>
  <c r="K23" i="3"/>
  <c r="E26" i="3"/>
  <c r="K31" i="3"/>
  <c r="E34" i="3"/>
  <c r="K39" i="3"/>
  <c r="E42" i="3"/>
  <c r="E44" i="3"/>
  <c r="E47" i="3"/>
  <c r="K49" i="3"/>
  <c r="K56" i="3"/>
  <c r="E59" i="3"/>
  <c r="K63" i="3"/>
  <c r="E68" i="3"/>
  <c r="E76" i="3"/>
  <c r="E100" i="3"/>
  <c r="K10" i="3"/>
  <c r="K18" i="3"/>
  <c r="K26" i="3"/>
  <c r="K34" i="3"/>
  <c r="K42" i="3"/>
  <c r="E52" i="3"/>
  <c r="E54" i="3"/>
  <c r="E57" i="3"/>
  <c r="E66" i="3"/>
  <c r="E87" i="3"/>
  <c r="K89" i="3"/>
  <c r="K92" i="3"/>
  <c r="K336" i="3"/>
  <c r="K328" i="3"/>
  <c r="K320" i="3"/>
  <c r="K312" i="3"/>
  <c r="K319" i="3"/>
  <c r="K327" i="3"/>
  <c r="K304" i="3"/>
  <c r="K265" i="3"/>
  <c r="K293" i="3"/>
  <c r="K285" i="3"/>
  <c r="K277" i="3"/>
  <c r="K311" i="3"/>
  <c r="K256" i="3"/>
  <c r="K248" i="3"/>
  <c r="K296" i="3"/>
  <c r="K273" i="3"/>
  <c r="K252" i="3"/>
  <c r="K152" i="3"/>
  <c r="K174" i="3"/>
  <c r="K2" i="3"/>
  <c r="K48" i="3"/>
  <c r="K139" i="3"/>
  <c r="K5" i="3"/>
  <c r="K13" i="3"/>
  <c r="K21" i="3"/>
  <c r="K29" i="3"/>
  <c r="K37" i="3"/>
  <c r="K44" i="3"/>
  <c r="K47" i="3"/>
  <c r="E50" i="3"/>
  <c r="K54" i="3"/>
  <c r="K71" i="3"/>
  <c r="K79" i="3"/>
  <c r="E82" i="3"/>
  <c r="K142" i="3"/>
  <c r="E154" i="3"/>
  <c r="E168" i="3"/>
  <c r="K192" i="3"/>
  <c r="K195" i="3"/>
  <c r="K198" i="3"/>
  <c r="E202" i="3"/>
  <c r="E205" i="3"/>
  <c r="K208" i="3"/>
  <c r="K211" i="3"/>
  <c r="K214" i="3"/>
  <c r="E218" i="3"/>
  <c r="E221" i="3"/>
  <c r="K224" i="3"/>
  <c r="K8" i="3"/>
  <c r="K16" i="3"/>
  <c r="K24" i="3"/>
  <c r="K32" i="3"/>
  <c r="K40" i="3"/>
  <c r="E45" i="3"/>
  <c r="K50" i="3"/>
  <c r="K52" i="3"/>
  <c r="E135" i="3"/>
  <c r="K137" i="3"/>
  <c r="K3" i="3"/>
  <c r="E6" i="3"/>
  <c r="K11" i="3"/>
  <c r="E14" i="3"/>
  <c r="K19" i="3"/>
  <c r="E22" i="3"/>
  <c r="K27" i="3"/>
  <c r="K35" i="3"/>
  <c r="K43" i="3"/>
  <c r="K45" i="3"/>
  <c r="E48" i="3"/>
  <c r="E55" i="3"/>
  <c r="E62" i="3"/>
  <c r="E69" i="3"/>
  <c r="E75" i="3"/>
  <c r="E77" i="3"/>
  <c r="K130" i="3"/>
  <c r="K132" i="3"/>
  <c r="E377" i="3"/>
  <c r="E340" i="3"/>
  <c r="E415" i="3"/>
  <c r="E407" i="3"/>
  <c r="E359" i="3"/>
  <c r="E401" i="3"/>
  <c r="E383" i="3"/>
  <c r="E343" i="3"/>
  <c r="E332" i="3"/>
  <c r="E296" i="3"/>
  <c r="E385" i="3"/>
  <c r="E302" i="3"/>
  <c r="E316" i="3"/>
  <c r="E367" i="3"/>
  <c r="E308" i="3"/>
  <c r="E324" i="3"/>
  <c r="E273" i="3"/>
  <c r="E261" i="3"/>
  <c r="E257" i="3"/>
  <c r="E131" i="3"/>
  <c r="E148" i="3"/>
  <c r="E186" i="3"/>
  <c r="E162" i="3"/>
  <c r="E134" i="3"/>
  <c r="E86" i="3"/>
  <c r="E124" i="3"/>
  <c r="E129" i="3"/>
  <c r="E2" i="3"/>
  <c r="E94" i="3"/>
  <c r="E70" i="3"/>
  <c r="K6" i="3"/>
  <c r="K14" i="3"/>
  <c r="K22" i="3"/>
  <c r="K30" i="3"/>
  <c r="K38" i="3"/>
  <c r="E41" i="3"/>
  <c r="E46" i="3"/>
  <c r="E53" i="3"/>
  <c r="K55" i="3"/>
  <c r="E60" i="3"/>
  <c r="K62" i="3"/>
  <c r="K72" i="3"/>
  <c r="K125" i="3"/>
  <c r="K128" i="3"/>
  <c r="E4" i="3"/>
  <c r="K9" i="3"/>
  <c r="E12" i="3"/>
  <c r="K17" i="3"/>
  <c r="E20" i="3"/>
  <c r="K25" i="3"/>
  <c r="K33" i="3"/>
  <c r="K41" i="3"/>
  <c r="E56" i="3"/>
  <c r="E58" i="3"/>
  <c r="E73" i="3"/>
  <c r="E78" i="3"/>
  <c r="E102" i="3"/>
  <c r="K120" i="3"/>
  <c r="K4" i="3"/>
  <c r="K12" i="3"/>
  <c r="K20" i="3"/>
  <c r="K28" i="3"/>
  <c r="K36" i="3"/>
  <c r="K46" i="3"/>
  <c r="E49" i="3"/>
  <c r="K102" i="3"/>
  <c r="E110" i="3"/>
  <c r="E113" i="3"/>
  <c r="K115" i="3"/>
  <c r="E118" i="3"/>
  <c r="K53" i="3"/>
  <c r="K64" i="3"/>
  <c r="E84" i="3"/>
  <c r="K86" i="3"/>
  <c r="E97" i="3"/>
  <c r="K99" i="3"/>
  <c r="K104" i="3"/>
  <c r="K109" i="3"/>
  <c r="E115" i="3"/>
  <c r="E117" i="3"/>
  <c r="E120" i="3"/>
  <c r="E125" i="3"/>
  <c r="K127" i="3"/>
  <c r="E130" i="3"/>
  <c r="E132" i="3"/>
  <c r="K158" i="3"/>
  <c r="E170" i="3"/>
  <c r="K59" i="3"/>
  <c r="E63" i="3"/>
  <c r="E65" i="3"/>
  <c r="K68" i="3"/>
  <c r="K70" i="3"/>
  <c r="E79" i="3"/>
  <c r="K81" i="3"/>
  <c r="K84" i="3"/>
  <c r="E92" i="3"/>
  <c r="K94" i="3"/>
  <c r="E105" i="3"/>
  <c r="K107" i="3"/>
  <c r="K112" i="3"/>
  <c r="K117" i="3"/>
  <c r="K122" i="3"/>
  <c r="E128" i="3"/>
  <c r="K134" i="3"/>
  <c r="E140" i="3"/>
  <c r="K150" i="3"/>
  <c r="K170" i="3"/>
  <c r="K173" i="3"/>
  <c r="K182" i="3"/>
  <c r="K227" i="3"/>
  <c r="K230" i="3"/>
  <c r="E234" i="3"/>
  <c r="E237" i="3"/>
  <c r="K240" i="3"/>
  <c r="K243" i="3"/>
  <c r="K246" i="3"/>
  <c r="K249" i="3"/>
  <c r="E252" i="3"/>
  <c r="K254" i="3"/>
  <c r="E277" i="3"/>
  <c r="K58" i="3"/>
  <c r="K61" i="3"/>
  <c r="E71" i="3"/>
  <c r="K75" i="3"/>
  <c r="E80" i="3"/>
  <c r="K82" i="3"/>
  <c r="K87" i="3"/>
  <c r="E90" i="3"/>
  <c r="E95" i="3"/>
  <c r="K97" i="3"/>
  <c r="K100" i="3"/>
  <c r="E108" i="3"/>
  <c r="K110" i="3"/>
  <c r="E121" i="3"/>
  <c r="E123" i="3"/>
  <c r="E126" i="3"/>
  <c r="E133" i="3"/>
  <c r="E138" i="3"/>
  <c r="E143" i="3"/>
  <c r="K151" i="3"/>
  <c r="K165" i="3"/>
  <c r="K189" i="3"/>
  <c r="K51" i="3"/>
  <c r="K65" i="3"/>
  <c r="K67" i="3"/>
  <c r="K77" i="3"/>
  <c r="E83" i="3"/>
  <c r="E85" i="3"/>
  <c r="E88" i="3"/>
  <c r="K90" i="3"/>
  <c r="K95" i="3"/>
  <c r="E98" i="3"/>
  <c r="E103" i="3"/>
  <c r="K105" i="3"/>
  <c r="K108" i="3"/>
  <c r="E116" i="3"/>
  <c r="K118" i="3"/>
  <c r="K123" i="3"/>
  <c r="K133" i="3"/>
  <c r="K135" i="3"/>
  <c r="K138" i="3"/>
  <c r="E146" i="3"/>
  <c r="K160" i="3"/>
  <c r="E184" i="3"/>
  <c r="E64" i="3"/>
  <c r="K73" i="3"/>
  <c r="K80" i="3"/>
  <c r="K85" i="3"/>
  <c r="E91" i="3"/>
  <c r="E93" i="3"/>
  <c r="E96" i="3"/>
  <c r="K98" i="3"/>
  <c r="K103" i="3"/>
  <c r="E106" i="3"/>
  <c r="E111" i="3"/>
  <c r="K113" i="3"/>
  <c r="K116" i="3"/>
  <c r="K143" i="3"/>
  <c r="K149" i="3"/>
  <c r="E155" i="3"/>
  <c r="E178" i="3"/>
  <c r="K60" i="3"/>
  <c r="K69" i="3"/>
  <c r="E72" i="3"/>
  <c r="E74" i="3"/>
  <c r="E81" i="3"/>
  <c r="K83" i="3"/>
  <c r="K88" i="3"/>
  <c r="K93" i="3"/>
  <c r="E99" i="3"/>
  <c r="E101" i="3"/>
  <c r="E104" i="3"/>
  <c r="K106" i="3"/>
  <c r="K111" i="3"/>
  <c r="E114" i="3"/>
  <c r="E119" i="3"/>
  <c r="K121" i="3"/>
  <c r="K126" i="3"/>
  <c r="K129" i="3"/>
  <c r="K136" i="3"/>
  <c r="K178" i="3"/>
  <c r="K181" i="3"/>
  <c r="K190" i="3"/>
  <c r="K57" i="3"/>
  <c r="K66" i="3"/>
  <c r="K74" i="3"/>
  <c r="K76" i="3"/>
  <c r="K78" i="3"/>
  <c r="E89" i="3"/>
  <c r="K91" i="3"/>
  <c r="K96" i="3"/>
  <c r="K101" i="3"/>
  <c r="E107" i="3"/>
  <c r="E109" i="3"/>
  <c r="E112" i="3"/>
  <c r="K114" i="3"/>
  <c r="K119" i="3"/>
  <c r="E122" i="3"/>
  <c r="K124" i="3"/>
  <c r="E127" i="3"/>
  <c r="K131" i="3"/>
  <c r="K144" i="3"/>
  <c r="K166" i="3"/>
  <c r="K175" i="3"/>
  <c r="E137" i="3"/>
  <c r="E139" i="3"/>
  <c r="E150" i="3"/>
  <c r="K154" i="3"/>
  <c r="K159" i="3"/>
  <c r="E165" i="3"/>
  <c r="E167" i="3"/>
  <c r="K172" i="3"/>
  <c r="K180" i="3"/>
  <c r="E183" i="3"/>
  <c r="E189" i="3"/>
  <c r="K191" i="3"/>
  <c r="E198" i="3"/>
  <c r="E201" i="3"/>
  <c r="K207" i="3"/>
  <c r="E214" i="3"/>
  <c r="E217" i="3"/>
  <c r="K223" i="3"/>
  <c r="E230" i="3"/>
  <c r="E233" i="3"/>
  <c r="K239" i="3"/>
  <c r="E246" i="3"/>
  <c r="K141" i="3"/>
  <c r="K145" i="3"/>
  <c r="K157" i="3"/>
  <c r="E160" i="3"/>
  <c r="K162" i="3"/>
  <c r="K167" i="3"/>
  <c r="E173" i="3"/>
  <c r="E175" i="3"/>
  <c r="E181" i="3"/>
  <c r="K183" i="3"/>
  <c r="K186" i="3"/>
  <c r="E192" i="3"/>
  <c r="E195" i="3"/>
  <c r="K201" i="3"/>
  <c r="K204" i="3"/>
  <c r="E208" i="3"/>
  <c r="E211" i="3"/>
  <c r="K217" i="3"/>
  <c r="K220" i="3"/>
  <c r="E224" i="3"/>
  <c r="E227" i="3"/>
  <c r="K233" i="3"/>
  <c r="K236" i="3"/>
  <c r="E240" i="3"/>
  <c r="E243" i="3"/>
  <c r="E249" i="3"/>
  <c r="K251" i="3"/>
  <c r="E265" i="3"/>
  <c r="E142" i="3"/>
  <c r="E144" i="3"/>
  <c r="K148" i="3"/>
  <c r="E153" i="3"/>
  <c r="K155" i="3"/>
  <c r="E158" i="3"/>
  <c r="E163" i="3"/>
  <c r="K168" i="3"/>
  <c r="E176" i="3"/>
  <c r="K184" i="3"/>
  <c r="E187" i="3"/>
  <c r="E190" i="3"/>
  <c r="E196" i="3"/>
  <c r="E199" i="3"/>
  <c r="K202" i="3"/>
  <c r="K205" i="3"/>
  <c r="E212" i="3"/>
  <c r="E215" i="3"/>
  <c r="K218" i="3"/>
  <c r="K221" i="3"/>
  <c r="E228" i="3"/>
  <c r="E231" i="3"/>
  <c r="K234" i="3"/>
  <c r="K237" i="3"/>
  <c r="E244" i="3"/>
  <c r="E247" i="3"/>
  <c r="K257" i="3"/>
  <c r="E260" i="3"/>
  <c r="K262" i="3"/>
  <c r="E136" i="3"/>
  <c r="K146" i="3"/>
  <c r="E149" i="3"/>
  <c r="E151" i="3"/>
  <c r="E156" i="3"/>
  <c r="E161" i="3"/>
  <c r="K163" i="3"/>
  <c r="E166" i="3"/>
  <c r="E171" i="3"/>
  <c r="K176" i="3"/>
  <c r="E179" i="3"/>
  <c r="E182" i="3"/>
  <c r="K187" i="3"/>
  <c r="E193" i="3"/>
  <c r="K199" i="3"/>
  <c r="E206" i="3"/>
  <c r="E209" i="3"/>
  <c r="K215" i="3"/>
  <c r="E222" i="3"/>
  <c r="E225" i="3"/>
  <c r="K231" i="3"/>
  <c r="E238" i="3"/>
  <c r="E241" i="3"/>
  <c r="E250" i="3"/>
  <c r="E269" i="3"/>
  <c r="K289" i="3"/>
  <c r="K153" i="3"/>
  <c r="E164" i="3"/>
  <c r="E169" i="3"/>
  <c r="K171" i="3"/>
  <c r="E174" i="3"/>
  <c r="K179" i="3"/>
  <c r="E185" i="3"/>
  <c r="E188" i="3"/>
  <c r="K193" i="3"/>
  <c r="K196" i="3"/>
  <c r="E200" i="3"/>
  <c r="E203" i="3"/>
  <c r="K209" i="3"/>
  <c r="K212" i="3"/>
  <c r="E216" i="3"/>
  <c r="E219" i="3"/>
  <c r="K225" i="3"/>
  <c r="K228" i="3"/>
  <c r="E232" i="3"/>
  <c r="E235" i="3"/>
  <c r="K241" i="3"/>
  <c r="K244" i="3"/>
  <c r="K247" i="3"/>
  <c r="K250" i="3"/>
  <c r="E253" i="3"/>
  <c r="K269" i="3"/>
  <c r="K140" i="3"/>
  <c r="E147" i="3"/>
  <c r="K156" i="3"/>
  <c r="K161" i="3"/>
  <c r="E172" i="3"/>
  <c r="E177" i="3"/>
  <c r="E180" i="3"/>
  <c r="K185" i="3"/>
  <c r="E194" i="3"/>
  <c r="E197" i="3"/>
  <c r="K200" i="3"/>
  <c r="K203" i="3"/>
  <c r="K206" i="3"/>
  <c r="E210" i="3"/>
  <c r="E213" i="3"/>
  <c r="K216" i="3"/>
  <c r="K219" i="3"/>
  <c r="K222" i="3"/>
  <c r="E226" i="3"/>
  <c r="E229" i="3"/>
  <c r="K232" i="3"/>
  <c r="K235" i="3"/>
  <c r="K238" i="3"/>
  <c r="E242" i="3"/>
  <c r="E245" i="3"/>
  <c r="E248" i="3"/>
  <c r="K253" i="3"/>
  <c r="K281" i="3"/>
  <c r="E141" i="3"/>
  <c r="E145" i="3"/>
  <c r="K147" i="3"/>
  <c r="E152" i="3"/>
  <c r="E157" i="3"/>
  <c r="E159" i="3"/>
  <c r="K164" i="3"/>
  <c r="K169" i="3"/>
  <c r="K177" i="3"/>
  <c r="K188" i="3"/>
  <c r="E191" i="3"/>
  <c r="K194" i="3"/>
  <c r="K197" i="3"/>
  <c r="E204" i="3"/>
  <c r="E207" i="3"/>
  <c r="K210" i="3"/>
  <c r="K213" i="3"/>
  <c r="E220" i="3"/>
  <c r="E223" i="3"/>
  <c r="K226" i="3"/>
  <c r="K229" i="3"/>
  <c r="E236" i="3"/>
  <c r="E239" i="3"/>
  <c r="K242" i="3"/>
  <c r="K245" i="3"/>
  <c r="K258" i="3"/>
  <c r="K261" i="3"/>
  <c r="E264" i="3"/>
  <c r="E251" i="3"/>
  <c r="E254" i="3"/>
  <c r="E256" i="3"/>
  <c r="E266" i="3"/>
  <c r="E276" i="3"/>
  <c r="K283" i="3"/>
  <c r="K291" i="3"/>
  <c r="K299" i="3"/>
  <c r="E258" i="3"/>
  <c r="E262" i="3"/>
  <c r="E271" i="3"/>
  <c r="K276" i="3"/>
  <c r="K278" i="3"/>
  <c r="E284" i="3"/>
  <c r="K286" i="3"/>
  <c r="E292" i="3"/>
  <c r="K302" i="3"/>
  <c r="K260" i="3"/>
  <c r="K264" i="3"/>
  <c r="K266" i="3"/>
  <c r="K271" i="3"/>
  <c r="E274" i="3"/>
  <c r="K284" i="3"/>
  <c r="K292" i="3"/>
  <c r="E295" i="3"/>
  <c r="E300" i="3"/>
  <c r="E305" i="3"/>
  <c r="K309" i="3"/>
  <c r="E272" i="3"/>
  <c r="E279" i="3"/>
  <c r="E282" i="3"/>
  <c r="E285" i="3"/>
  <c r="E287" i="3"/>
  <c r="E290" i="3"/>
  <c r="E293" i="3"/>
  <c r="K295" i="3"/>
  <c r="K297" i="3"/>
  <c r="E303" i="3"/>
  <c r="K307" i="3"/>
  <c r="E337" i="3"/>
  <c r="E358" i="3"/>
  <c r="E267" i="3"/>
  <c r="K272" i="3"/>
  <c r="K274" i="3"/>
  <c r="K279" i="3"/>
  <c r="K287" i="3"/>
  <c r="E298" i="3"/>
  <c r="K332" i="3"/>
  <c r="K335" i="3"/>
  <c r="E255" i="3"/>
  <c r="K267" i="3"/>
  <c r="E270" i="3"/>
  <c r="E280" i="3"/>
  <c r="K282" i="3"/>
  <c r="E288" i="3"/>
  <c r="K290" i="3"/>
  <c r="E301" i="3"/>
  <c r="K303" i="3"/>
  <c r="E306" i="3"/>
  <c r="E312" i="3"/>
  <c r="K255" i="3"/>
  <c r="E259" i="3"/>
  <c r="E263" i="3"/>
  <c r="E268" i="3"/>
  <c r="E275" i="3"/>
  <c r="K280" i="3"/>
  <c r="K288" i="3"/>
  <c r="K301" i="3"/>
  <c r="E331" i="3"/>
  <c r="K259" i="3"/>
  <c r="K263" i="3"/>
  <c r="K268" i="3"/>
  <c r="K270" i="3"/>
  <c r="K275" i="3"/>
  <c r="E278" i="3"/>
  <c r="E281" i="3"/>
  <c r="E283" i="3"/>
  <c r="E286" i="3"/>
  <c r="E289" i="3"/>
  <c r="E291" i="3"/>
  <c r="E294" i="3"/>
  <c r="E299" i="3"/>
  <c r="E304" i="3"/>
  <c r="K298" i="3"/>
  <c r="K306" i="3"/>
  <c r="E310" i="3"/>
  <c r="E314" i="3"/>
  <c r="E318" i="3"/>
  <c r="E320" i="3"/>
  <c r="K322" i="3"/>
  <c r="K326" i="3"/>
  <c r="E333" i="3"/>
  <c r="E361" i="3"/>
  <c r="E372" i="3"/>
  <c r="E375" i="3"/>
  <c r="E398" i="3"/>
  <c r="E297" i="3"/>
  <c r="E327" i="3"/>
  <c r="E329" i="3"/>
  <c r="K331" i="3"/>
  <c r="K333" i="3"/>
  <c r="E355" i="3"/>
  <c r="E364" i="3"/>
  <c r="E395" i="3"/>
  <c r="E404" i="3"/>
  <c r="K310" i="3"/>
  <c r="K314" i="3"/>
  <c r="K318" i="3"/>
  <c r="K324" i="3"/>
  <c r="K329" i="3"/>
  <c r="E336" i="3"/>
  <c r="K340" i="3"/>
  <c r="E344" i="3"/>
  <c r="E382" i="3"/>
  <c r="E393" i="3"/>
  <c r="K410" i="3"/>
  <c r="K300" i="3"/>
  <c r="K305" i="3"/>
  <c r="E307" i="3"/>
  <c r="K308" i="3"/>
  <c r="E319" i="3"/>
  <c r="E321" i="3"/>
  <c r="E323" i="3"/>
  <c r="E325" i="3"/>
  <c r="E334" i="3"/>
  <c r="E347" i="3"/>
  <c r="E350" i="3"/>
  <c r="E356" i="3"/>
  <c r="E365" i="3"/>
  <c r="E396" i="3"/>
  <c r="E399" i="3"/>
  <c r="E417" i="3"/>
  <c r="E420" i="3"/>
  <c r="K294" i="3"/>
  <c r="E309" i="3"/>
  <c r="E311" i="3"/>
  <c r="K316" i="3"/>
  <c r="K321" i="3"/>
  <c r="K323" i="3"/>
  <c r="K325" i="3"/>
  <c r="E330" i="3"/>
  <c r="K338" i="3"/>
  <c r="E353" i="3"/>
  <c r="K362" i="3"/>
  <c r="E313" i="3"/>
  <c r="E315" i="3"/>
  <c r="E317" i="3"/>
  <c r="K334" i="3"/>
  <c r="E345" i="3"/>
  <c r="E351" i="3"/>
  <c r="K353" i="3"/>
  <c r="E366" i="3"/>
  <c r="E391" i="3"/>
  <c r="E406" i="3"/>
  <c r="E409" i="3"/>
  <c r="K313" i="3"/>
  <c r="K315" i="3"/>
  <c r="K317" i="3"/>
  <c r="E322" i="3"/>
  <c r="E326" i="3"/>
  <c r="E328" i="3"/>
  <c r="K330" i="3"/>
  <c r="E335" i="3"/>
  <c r="E339" i="3"/>
  <c r="E342" i="3"/>
  <c r="E348" i="3"/>
  <c r="K351" i="3"/>
  <c r="E369" i="3"/>
  <c r="E380" i="3"/>
  <c r="K367" i="3"/>
  <c r="K372" i="3"/>
  <c r="E403" i="3"/>
  <c r="E419" i="3"/>
  <c r="E341" i="3"/>
  <c r="E352" i="3"/>
  <c r="E354" i="3"/>
  <c r="E363" i="3"/>
  <c r="E368" i="3"/>
  <c r="E370" i="3"/>
  <c r="E373" i="3"/>
  <c r="K380" i="3"/>
  <c r="E388" i="3"/>
  <c r="E411" i="3"/>
  <c r="E414" i="3"/>
  <c r="K343" i="3"/>
  <c r="K345" i="3"/>
  <c r="K354" i="3"/>
  <c r="K356" i="3"/>
  <c r="K370" i="3"/>
  <c r="E376" i="3"/>
  <c r="E378" i="3"/>
  <c r="E381" i="3"/>
  <c r="K388" i="3"/>
  <c r="K337" i="3"/>
  <c r="K339" i="3"/>
  <c r="E357" i="3"/>
  <c r="K378" i="3"/>
  <c r="E384" i="3"/>
  <c r="E386" i="3"/>
  <c r="E389" i="3"/>
  <c r="K396" i="3"/>
  <c r="E346" i="3"/>
  <c r="K359" i="3"/>
  <c r="K361" i="3"/>
  <c r="E371" i="3"/>
  <c r="E374" i="3"/>
  <c r="K386" i="3"/>
  <c r="E392" i="3"/>
  <c r="E394" i="3"/>
  <c r="E397" i="3"/>
  <c r="K404" i="3"/>
  <c r="E412" i="3"/>
  <c r="K420" i="3"/>
  <c r="K346" i="3"/>
  <c r="K348" i="3"/>
  <c r="E379" i="3"/>
  <c r="K394" i="3"/>
  <c r="E400" i="3"/>
  <c r="E402" i="3"/>
  <c r="E405" i="3"/>
  <c r="K412" i="3"/>
  <c r="E418" i="3"/>
  <c r="E421" i="3"/>
  <c r="E338" i="3"/>
  <c r="E349" i="3"/>
  <c r="E360" i="3"/>
  <c r="E362" i="3"/>
  <c r="K364" i="3"/>
  <c r="E387" i="3"/>
  <c r="E390" i="3"/>
  <c r="K402" i="3"/>
  <c r="E408" i="3"/>
  <c r="E410" i="3"/>
  <c r="E413" i="3"/>
  <c r="E416" i="3"/>
  <c r="K418" i="3"/>
  <c r="K375" i="3"/>
  <c r="K383" i="3"/>
  <c r="K391" i="3"/>
  <c r="K399" i="3"/>
  <c r="K407" i="3"/>
  <c r="K415" i="3"/>
  <c r="K369" i="3"/>
  <c r="K377" i="3"/>
  <c r="K385" i="3"/>
  <c r="K393" i="3"/>
  <c r="K401" i="3"/>
  <c r="K409" i="3"/>
  <c r="K417" i="3"/>
  <c r="K342" i="3"/>
  <c r="K350" i="3"/>
  <c r="K358" i="3"/>
  <c r="K366" i="3"/>
  <c r="K374" i="3"/>
  <c r="K382" i="3"/>
  <c r="K390" i="3"/>
  <c r="K398" i="3"/>
  <c r="K406" i="3"/>
  <c r="K414" i="3"/>
  <c r="K347" i="3"/>
  <c r="K355" i="3"/>
  <c r="K363" i="3"/>
  <c r="K371" i="3"/>
  <c r="K379" i="3"/>
  <c r="K387" i="3"/>
  <c r="K395" i="3"/>
  <c r="K403" i="3"/>
  <c r="K411" i="3"/>
  <c r="K419" i="3"/>
  <c r="K344" i="3"/>
  <c r="K352" i="3"/>
  <c r="K360" i="3"/>
  <c r="K368" i="3"/>
  <c r="K376" i="3"/>
  <c r="K384" i="3"/>
  <c r="K392" i="3"/>
  <c r="K400" i="3"/>
  <c r="K408" i="3"/>
  <c r="K416" i="3"/>
  <c r="K341" i="3"/>
  <c r="K349" i="3"/>
  <c r="K357" i="3"/>
  <c r="K365" i="3"/>
  <c r="K373" i="3"/>
  <c r="K381" i="3"/>
  <c r="K389" i="3"/>
  <c r="K397" i="3"/>
  <c r="K405" i="3"/>
  <c r="K413" i="3"/>
  <c r="K421" i="3"/>
  <c r="Q6" i="2"/>
  <c r="V6" i="2" s="1"/>
  <c r="AD8" i="2" a="1"/>
  <c r="AD8" i="2" s="1"/>
  <c r="Q14" i="2"/>
  <c r="V14" i="2" s="1"/>
  <c r="Q39" i="2"/>
  <c r="V39" i="2" s="1"/>
  <c r="Q118" i="2"/>
  <c r="V118" i="2" s="1"/>
  <c r="Q11" i="2"/>
  <c r="V11" i="2" s="1"/>
  <c r="AD13" i="2" a="1"/>
  <c r="AD13" i="2" s="1"/>
  <c r="Q21" i="2"/>
  <c r="V21" i="2" s="1"/>
  <c r="Q35" i="2"/>
  <c r="V35" i="2" s="1"/>
  <c r="Q78" i="2"/>
  <c r="V78" i="2" s="1"/>
  <c r="Q405" i="2"/>
  <c r="V405" i="2" s="1"/>
  <c r="Q397" i="2"/>
  <c r="V397" i="2" s="1"/>
  <c r="Q389" i="2"/>
  <c r="V389" i="2" s="1"/>
  <c r="Q381" i="2"/>
  <c r="V381" i="2" s="1"/>
  <c r="Q373" i="2"/>
  <c r="V373" i="2" s="1"/>
  <c r="Q365" i="2"/>
  <c r="V365" i="2" s="1"/>
  <c r="Q357" i="2"/>
  <c r="V357" i="2" s="1"/>
  <c r="Q349" i="2"/>
  <c r="V349" i="2" s="1"/>
  <c r="Q341" i="2"/>
  <c r="V341" i="2" s="1"/>
  <c r="Q333" i="2"/>
  <c r="V333" i="2" s="1"/>
  <c r="Q406" i="2"/>
  <c r="V406" i="2" s="1"/>
  <c r="Q398" i="2"/>
  <c r="V398" i="2" s="1"/>
  <c r="Q390" i="2"/>
  <c r="V390" i="2" s="1"/>
  <c r="Q382" i="2"/>
  <c r="V382" i="2" s="1"/>
  <c r="Q374" i="2"/>
  <c r="V374" i="2" s="1"/>
  <c r="Q366" i="2"/>
  <c r="V366" i="2" s="1"/>
  <c r="Q358" i="2"/>
  <c r="V358" i="2" s="1"/>
  <c r="Q350" i="2"/>
  <c r="V350" i="2" s="1"/>
  <c r="Q342" i="2"/>
  <c r="V342" i="2" s="1"/>
  <c r="Q334" i="2"/>
  <c r="V334" i="2" s="1"/>
  <c r="Q407" i="2"/>
  <c r="V407" i="2" s="1"/>
  <c r="Q399" i="2"/>
  <c r="V399" i="2" s="1"/>
  <c r="Q391" i="2"/>
  <c r="V391" i="2" s="1"/>
  <c r="Q383" i="2"/>
  <c r="V383" i="2" s="1"/>
  <c r="Q375" i="2"/>
  <c r="V375" i="2" s="1"/>
  <c r="Q367" i="2"/>
  <c r="V367" i="2" s="1"/>
  <c r="Q408" i="2"/>
  <c r="V408" i="2" s="1"/>
  <c r="Q400" i="2"/>
  <c r="V400" i="2" s="1"/>
  <c r="Q392" i="2"/>
  <c r="V392" i="2" s="1"/>
  <c r="Q409" i="2"/>
  <c r="V409" i="2" s="1"/>
  <c r="Q401" i="2"/>
  <c r="V401" i="2" s="1"/>
  <c r="Q393" i="2"/>
  <c r="V393" i="2" s="1"/>
  <c r="Q385" i="2"/>
  <c r="V385" i="2" s="1"/>
  <c r="Q377" i="2"/>
  <c r="V377" i="2" s="1"/>
  <c r="Q369" i="2"/>
  <c r="V369" i="2" s="1"/>
  <c r="Q361" i="2"/>
  <c r="V361" i="2" s="1"/>
  <c r="Q353" i="2"/>
  <c r="V353" i="2" s="1"/>
  <c r="Q345" i="2"/>
  <c r="V345" i="2" s="1"/>
  <c r="Q337" i="2"/>
  <c r="V337" i="2" s="1"/>
  <c r="Q411" i="2"/>
  <c r="V411" i="2" s="1"/>
  <c r="Q403" i="2"/>
  <c r="V403" i="2" s="1"/>
  <c r="Q395" i="2"/>
  <c r="V395" i="2" s="1"/>
  <c r="Q387" i="2"/>
  <c r="V387" i="2" s="1"/>
  <c r="Q379" i="2"/>
  <c r="V379" i="2" s="1"/>
  <c r="Q371" i="2"/>
  <c r="V371" i="2" s="1"/>
  <c r="Q363" i="2"/>
  <c r="V363" i="2" s="1"/>
  <c r="Q355" i="2"/>
  <c r="V355" i="2" s="1"/>
  <c r="Q347" i="2"/>
  <c r="V347" i="2" s="1"/>
  <c r="Q339" i="2"/>
  <c r="V339" i="2" s="1"/>
  <c r="Q331" i="2"/>
  <c r="V331" i="2" s="1"/>
  <c r="Q323" i="2"/>
  <c r="V323" i="2" s="1"/>
  <c r="Q315" i="2"/>
  <c r="V315" i="2" s="1"/>
  <c r="Q394" i="2"/>
  <c r="V394" i="2" s="1"/>
  <c r="Q386" i="2"/>
  <c r="V386" i="2" s="1"/>
  <c r="Q380" i="2"/>
  <c r="V380" i="2" s="1"/>
  <c r="Q351" i="2"/>
  <c r="V351" i="2" s="1"/>
  <c r="Q335" i="2"/>
  <c r="V335" i="2" s="1"/>
  <c r="Q317" i="2"/>
  <c r="V317" i="2" s="1"/>
  <c r="Q304" i="2"/>
  <c r="V304" i="2" s="1"/>
  <c r="Q296" i="2"/>
  <c r="V296" i="2" s="1"/>
  <c r="Q288" i="2"/>
  <c r="V288" i="2" s="1"/>
  <c r="Q280" i="2"/>
  <c r="V280" i="2" s="1"/>
  <c r="Q272" i="2"/>
  <c r="V272" i="2" s="1"/>
  <c r="Q264" i="2"/>
  <c r="V264" i="2" s="1"/>
  <c r="Q256" i="2"/>
  <c r="V256" i="2" s="1"/>
  <c r="Q248" i="2"/>
  <c r="V248" i="2" s="1"/>
  <c r="Q240" i="2"/>
  <c r="V240" i="2" s="1"/>
  <c r="Q232" i="2"/>
  <c r="V232" i="2" s="1"/>
  <c r="Q224" i="2"/>
  <c r="V224" i="2" s="1"/>
  <c r="Q216" i="2"/>
  <c r="V216" i="2" s="1"/>
  <c r="Q208" i="2"/>
  <c r="V208" i="2" s="1"/>
  <c r="Q200" i="2"/>
  <c r="V200" i="2" s="1"/>
  <c r="Q192" i="2"/>
  <c r="V192" i="2" s="1"/>
  <c r="Q184" i="2"/>
  <c r="V184" i="2" s="1"/>
  <c r="Q404" i="2"/>
  <c r="V404" i="2" s="1"/>
  <c r="Q378" i="2"/>
  <c r="V378" i="2" s="1"/>
  <c r="Q372" i="2"/>
  <c r="V372" i="2" s="1"/>
  <c r="Q348" i="2"/>
  <c r="V348" i="2" s="1"/>
  <c r="Q332" i="2"/>
  <c r="V332" i="2" s="1"/>
  <c r="Q329" i="2"/>
  <c r="V329" i="2" s="1"/>
  <c r="Q318" i="2"/>
  <c r="V318" i="2" s="1"/>
  <c r="Q312" i="2"/>
  <c r="V312" i="2" s="1"/>
  <c r="Q305" i="2"/>
  <c r="V305" i="2" s="1"/>
  <c r="Q297" i="2"/>
  <c r="V297" i="2" s="1"/>
  <c r="Q289" i="2"/>
  <c r="V289" i="2" s="1"/>
  <c r="Q281" i="2"/>
  <c r="V281" i="2" s="1"/>
  <c r="Q273" i="2"/>
  <c r="V273" i="2" s="1"/>
  <c r="Q265" i="2"/>
  <c r="V265" i="2" s="1"/>
  <c r="Q257" i="2"/>
  <c r="V257" i="2" s="1"/>
  <c r="Q249" i="2"/>
  <c r="V249" i="2" s="1"/>
  <c r="Q241" i="2"/>
  <c r="V241" i="2" s="1"/>
  <c r="Q233" i="2"/>
  <c r="V233" i="2" s="1"/>
  <c r="Q225" i="2"/>
  <c r="V225" i="2" s="1"/>
  <c r="Q217" i="2"/>
  <c r="V217" i="2" s="1"/>
  <c r="Q209" i="2"/>
  <c r="V209" i="2" s="1"/>
  <c r="Q201" i="2"/>
  <c r="V201" i="2" s="1"/>
  <c r="Q193" i="2"/>
  <c r="V193" i="2" s="1"/>
  <c r="Q185" i="2"/>
  <c r="V185" i="2" s="1"/>
  <c r="Q177" i="2"/>
  <c r="V177" i="2" s="1"/>
  <c r="Q169" i="2"/>
  <c r="V169" i="2" s="1"/>
  <c r="Q402" i="2"/>
  <c r="V402" i="2" s="1"/>
  <c r="Q370" i="2"/>
  <c r="V370" i="2" s="1"/>
  <c r="Q364" i="2"/>
  <c r="V364" i="2" s="1"/>
  <c r="Q352" i="2"/>
  <c r="V352" i="2" s="1"/>
  <c r="Q336" i="2"/>
  <c r="V336" i="2" s="1"/>
  <c r="Q324" i="2"/>
  <c r="V324" i="2" s="1"/>
  <c r="Q319" i="2"/>
  <c r="V319" i="2" s="1"/>
  <c r="Q306" i="2"/>
  <c r="V306" i="2" s="1"/>
  <c r="Q298" i="2"/>
  <c r="V298" i="2" s="1"/>
  <c r="Q290" i="2"/>
  <c r="V290" i="2" s="1"/>
  <c r="Q282" i="2"/>
  <c r="V282" i="2" s="1"/>
  <c r="Q274" i="2"/>
  <c r="V274" i="2" s="1"/>
  <c r="Q266" i="2"/>
  <c r="V266" i="2" s="1"/>
  <c r="Q258" i="2"/>
  <c r="V258" i="2" s="1"/>
  <c r="Q250" i="2"/>
  <c r="V250" i="2" s="1"/>
  <c r="Q242" i="2"/>
  <c r="V242" i="2" s="1"/>
  <c r="Q234" i="2"/>
  <c r="V234" i="2" s="1"/>
  <c r="Q226" i="2"/>
  <c r="V226" i="2" s="1"/>
  <c r="Q218" i="2"/>
  <c r="V218" i="2" s="1"/>
  <c r="Q210" i="2"/>
  <c r="V210" i="2" s="1"/>
  <c r="Q202" i="2"/>
  <c r="V202" i="2" s="1"/>
  <c r="Q194" i="2"/>
  <c r="V194" i="2" s="1"/>
  <c r="Q186" i="2"/>
  <c r="V186" i="2" s="1"/>
  <c r="Q178" i="2"/>
  <c r="V178" i="2" s="1"/>
  <c r="Q170" i="2"/>
  <c r="V170" i="2" s="1"/>
  <c r="Q162" i="2"/>
  <c r="V162" i="2" s="1"/>
  <c r="Q154" i="2"/>
  <c r="V154" i="2" s="1"/>
  <c r="Q384" i="2"/>
  <c r="V384" i="2" s="1"/>
  <c r="Q362" i="2"/>
  <c r="V362" i="2" s="1"/>
  <c r="Q346" i="2"/>
  <c r="V346" i="2" s="1"/>
  <c r="Q330" i="2"/>
  <c r="V330" i="2" s="1"/>
  <c r="Q325" i="2"/>
  <c r="V325" i="2" s="1"/>
  <c r="Q313" i="2"/>
  <c r="V313" i="2" s="1"/>
  <c r="Q307" i="2"/>
  <c r="V307" i="2" s="1"/>
  <c r="Q299" i="2"/>
  <c r="V299" i="2" s="1"/>
  <c r="Q291" i="2"/>
  <c r="V291" i="2" s="1"/>
  <c r="Q283" i="2"/>
  <c r="V283" i="2" s="1"/>
  <c r="Q275" i="2"/>
  <c r="V275" i="2" s="1"/>
  <c r="Q267" i="2"/>
  <c r="V267" i="2" s="1"/>
  <c r="Q259" i="2"/>
  <c r="V259" i="2" s="1"/>
  <c r="Q251" i="2"/>
  <c r="V251" i="2" s="1"/>
  <c r="Q243" i="2"/>
  <c r="V243" i="2" s="1"/>
  <c r="Q235" i="2"/>
  <c r="V235" i="2" s="1"/>
  <c r="Q227" i="2"/>
  <c r="V227" i="2" s="1"/>
  <c r="Q219" i="2"/>
  <c r="V219" i="2" s="1"/>
  <c r="Q211" i="2"/>
  <c r="V211" i="2" s="1"/>
  <c r="Q203" i="2"/>
  <c r="V203" i="2" s="1"/>
  <c r="Q195" i="2"/>
  <c r="V195" i="2" s="1"/>
  <c r="Q187" i="2"/>
  <c r="V187" i="2" s="1"/>
  <c r="Q179" i="2"/>
  <c r="V179" i="2" s="1"/>
  <c r="Q410" i="2"/>
  <c r="V410" i="2" s="1"/>
  <c r="Q376" i="2"/>
  <c r="V376" i="2" s="1"/>
  <c r="Q359" i="2"/>
  <c r="V359" i="2" s="1"/>
  <c r="Q343" i="2"/>
  <c r="V343" i="2" s="1"/>
  <c r="Q326" i="2"/>
  <c r="V326" i="2" s="1"/>
  <c r="Q320" i="2"/>
  <c r="V320" i="2" s="1"/>
  <c r="Q314" i="2"/>
  <c r="V314" i="2" s="1"/>
  <c r="Q308" i="2"/>
  <c r="V308" i="2" s="1"/>
  <c r="Q300" i="2"/>
  <c r="V300" i="2" s="1"/>
  <c r="Q292" i="2"/>
  <c r="V292" i="2" s="1"/>
  <c r="Q284" i="2"/>
  <c r="V284" i="2" s="1"/>
  <c r="Q276" i="2"/>
  <c r="V276" i="2" s="1"/>
  <c r="Q268" i="2"/>
  <c r="V268" i="2" s="1"/>
  <c r="Q260" i="2"/>
  <c r="V260" i="2" s="1"/>
  <c r="Q252" i="2"/>
  <c r="V252" i="2" s="1"/>
  <c r="Q244" i="2"/>
  <c r="V244" i="2" s="1"/>
  <c r="Q236" i="2"/>
  <c r="V236" i="2" s="1"/>
  <c r="Q228" i="2"/>
  <c r="V228" i="2" s="1"/>
  <c r="Q220" i="2"/>
  <c r="V220" i="2" s="1"/>
  <c r="Q212" i="2"/>
  <c r="V212" i="2" s="1"/>
  <c r="Q204" i="2"/>
  <c r="V204" i="2" s="1"/>
  <c r="Q196" i="2"/>
  <c r="V196" i="2" s="1"/>
  <c r="Q188" i="2"/>
  <c r="V188" i="2" s="1"/>
  <c r="Q180" i="2"/>
  <c r="V180" i="2" s="1"/>
  <c r="Q172" i="2"/>
  <c r="V172" i="2" s="1"/>
  <c r="Q368" i="2"/>
  <c r="V368" i="2" s="1"/>
  <c r="Q356" i="2"/>
  <c r="V356" i="2" s="1"/>
  <c r="Q340" i="2"/>
  <c r="V340" i="2" s="1"/>
  <c r="Q327" i="2"/>
  <c r="V327" i="2" s="1"/>
  <c r="Q309" i="2"/>
  <c r="V309" i="2" s="1"/>
  <c r="Q301" i="2"/>
  <c r="V301" i="2" s="1"/>
  <c r="Q293" i="2"/>
  <c r="V293" i="2" s="1"/>
  <c r="Q285" i="2"/>
  <c r="V285" i="2" s="1"/>
  <c r="Q277" i="2"/>
  <c r="V277" i="2" s="1"/>
  <c r="Q269" i="2"/>
  <c r="V269" i="2" s="1"/>
  <c r="Q261" i="2"/>
  <c r="V261" i="2" s="1"/>
  <c r="Q253" i="2"/>
  <c r="V253" i="2" s="1"/>
  <c r="Q245" i="2"/>
  <c r="V245" i="2" s="1"/>
  <c r="Q237" i="2"/>
  <c r="V237" i="2" s="1"/>
  <c r="Q229" i="2"/>
  <c r="V229" i="2" s="1"/>
  <c r="Q221" i="2"/>
  <c r="V221" i="2" s="1"/>
  <c r="Q213" i="2"/>
  <c r="V213" i="2" s="1"/>
  <c r="Q360" i="2"/>
  <c r="V360" i="2" s="1"/>
  <c r="Q344" i="2"/>
  <c r="V344" i="2" s="1"/>
  <c r="Q321" i="2"/>
  <c r="V321" i="2" s="1"/>
  <c r="Q310" i="2"/>
  <c r="V310" i="2" s="1"/>
  <c r="Q302" i="2"/>
  <c r="V302" i="2" s="1"/>
  <c r="Q294" i="2"/>
  <c r="V294" i="2" s="1"/>
  <c r="Q286" i="2"/>
  <c r="V286" i="2" s="1"/>
  <c r="Q278" i="2"/>
  <c r="V278" i="2" s="1"/>
  <c r="Q270" i="2"/>
  <c r="V270" i="2" s="1"/>
  <c r="Q262" i="2"/>
  <c r="V262" i="2" s="1"/>
  <c r="Q254" i="2"/>
  <c r="V254" i="2" s="1"/>
  <c r="Q246" i="2"/>
  <c r="V246" i="2" s="1"/>
  <c r="Q238" i="2"/>
  <c r="V238" i="2" s="1"/>
  <c r="Q230" i="2"/>
  <c r="V230" i="2" s="1"/>
  <c r="Q222" i="2"/>
  <c r="V222" i="2" s="1"/>
  <c r="Q214" i="2"/>
  <c r="V214" i="2" s="1"/>
  <c r="Q206" i="2"/>
  <c r="V206" i="2" s="1"/>
  <c r="Q198" i="2"/>
  <c r="V198" i="2" s="1"/>
  <c r="Q190" i="2"/>
  <c r="V190" i="2" s="1"/>
  <c r="Q182" i="2"/>
  <c r="V182" i="2" s="1"/>
  <c r="Q174" i="2"/>
  <c r="V174" i="2" s="1"/>
  <c r="Q166" i="2"/>
  <c r="V166" i="2" s="1"/>
  <c r="Q158" i="2"/>
  <c r="V158" i="2" s="1"/>
  <c r="Q150" i="2"/>
  <c r="V150" i="2" s="1"/>
  <c r="Q354" i="2"/>
  <c r="V354" i="2" s="1"/>
  <c r="Q322" i="2"/>
  <c r="V322" i="2" s="1"/>
  <c r="Q311" i="2"/>
  <c r="V311" i="2" s="1"/>
  <c r="Q247" i="2"/>
  <c r="V247" i="2" s="1"/>
  <c r="Q205" i="2"/>
  <c r="V205" i="2" s="1"/>
  <c r="Q171" i="2"/>
  <c r="V171" i="2" s="1"/>
  <c r="Q168" i="2"/>
  <c r="V168" i="2" s="1"/>
  <c r="Q165" i="2"/>
  <c r="V165" i="2" s="1"/>
  <c r="Q160" i="2"/>
  <c r="V160" i="2" s="1"/>
  <c r="Q143" i="2"/>
  <c r="V143" i="2" s="1"/>
  <c r="Q135" i="2"/>
  <c r="V135" i="2" s="1"/>
  <c r="Q127" i="2"/>
  <c r="V127" i="2" s="1"/>
  <c r="Q119" i="2"/>
  <c r="V119" i="2" s="1"/>
  <c r="Q111" i="2"/>
  <c r="V111" i="2" s="1"/>
  <c r="Q103" i="2"/>
  <c r="V103" i="2" s="1"/>
  <c r="Q95" i="2"/>
  <c r="V95" i="2" s="1"/>
  <c r="Q87" i="2"/>
  <c r="V87" i="2" s="1"/>
  <c r="Q79" i="2"/>
  <c r="V79" i="2" s="1"/>
  <c r="Q71" i="2"/>
  <c r="V71" i="2" s="1"/>
  <c r="Q67" i="2"/>
  <c r="V67" i="2" s="1"/>
  <c r="Q396" i="2"/>
  <c r="V396" i="2" s="1"/>
  <c r="Q316" i="2"/>
  <c r="V316" i="2" s="1"/>
  <c r="Q287" i="2"/>
  <c r="V287" i="2" s="1"/>
  <c r="Q223" i="2"/>
  <c r="V223" i="2" s="1"/>
  <c r="Q183" i="2"/>
  <c r="V183" i="2" s="1"/>
  <c r="Q161" i="2"/>
  <c r="V161" i="2" s="1"/>
  <c r="Q156" i="2"/>
  <c r="V156" i="2" s="1"/>
  <c r="Q151" i="2"/>
  <c r="V151" i="2" s="1"/>
  <c r="Q144" i="2"/>
  <c r="V144" i="2" s="1"/>
  <c r="Q136" i="2"/>
  <c r="V136" i="2" s="1"/>
  <c r="Q128" i="2"/>
  <c r="V128" i="2" s="1"/>
  <c r="Q120" i="2"/>
  <c r="V120" i="2" s="1"/>
  <c r="Q112" i="2"/>
  <c r="V112" i="2" s="1"/>
  <c r="Q104" i="2"/>
  <c r="V104" i="2" s="1"/>
  <c r="Q96" i="2"/>
  <c r="V96" i="2" s="1"/>
  <c r="Q88" i="2"/>
  <c r="V88" i="2" s="1"/>
  <c r="Q80" i="2"/>
  <c r="V80" i="2" s="1"/>
  <c r="Q72" i="2"/>
  <c r="V72" i="2" s="1"/>
  <c r="Q66" i="2"/>
  <c r="V66" i="2" s="1"/>
  <c r="Q62" i="2"/>
  <c r="V62" i="2" s="1"/>
  <c r="Q58" i="2"/>
  <c r="V58" i="2" s="1"/>
  <c r="Q54" i="2"/>
  <c r="V54" i="2" s="1"/>
  <c r="Q50" i="2"/>
  <c r="V50" i="2" s="1"/>
  <c r="Q46" i="2"/>
  <c r="V46" i="2" s="1"/>
  <c r="Q42" i="2"/>
  <c r="V42" i="2" s="1"/>
  <c r="Q38" i="2"/>
  <c r="V38" i="2" s="1"/>
  <c r="Q34" i="2"/>
  <c r="V34" i="2" s="1"/>
  <c r="Q30" i="2"/>
  <c r="V30" i="2" s="1"/>
  <c r="Q26" i="2"/>
  <c r="V26" i="2" s="1"/>
  <c r="Q22" i="2"/>
  <c r="V22" i="2" s="1"/>
  <c r="Q263" i="2"/>
  <c r="V263" i="2" s="1"/>
  <c r="Q175" i="2"/>
  <c r="V175" i="2" s="1"/>
  <c r="Q157" i="2"/>
  <c r="V157" i="2" s="1"/>
  <c r="Q152" i="2"/>
  <c r="V152" i="2" s="1"/>
  <c r="Q145" i="2"/>
  <c r="V145" i="2" s="1"/>
  <c r="Q137" i="2"/>
  <c r="V137" i="2" s="1"/>
  <c r="Q129" i="2"/>
  <c r="V129" i="2" s="1"/>
  <c r="Q121" i="2"/>
  <c r="V121" i="2" s="1"/>
  <c r="Q113" i="2"/>
  <c r="V113" i="2" s="1"/>
  <c r="Q105" i="2"/>
  <c r="V105" i="2" s="1"/>
  <c r="Q97" i="2"/>
  <c r="V97" i="2" s="1"/>
  <c r="Q89" i="2"/>
  <c r="V89" i="2" s="1"/>
  <c r="Q81" i="2"/>
  <c r="V81" i="2" s="1"/>
  <c r="Q73" i="2"/>
  <c r="V73" i="2" s="1"/>
  <c r="Q388" i="2"/>
  <c r="V388" i="2" s="1"/>
  <c r="Q338" i="2"/>
  <c r="V338" i="2" s="1"/>
  <c r="Q303" i="2"/>
  <c r="V303" i="2" s="1"/>
  <c r="Q239" i="2"/>
  <c r="V239" i="2" s="1"/>
  <c r="Q191" i="2"/>
  <c r="V191" i="2" s="1"/>
  <c r="Q181" i="2"/>
  <c r="V181" i="2" s="1"/>
  <c r="Q153" i="2"/>
  <c r="V153" i="2" s="1"/>
  <c r="Q146" i="2"/>
  <c r="V146" i="2" s="1"/>
  <c r="Q138" i="2"/>
  <c r="V138" i="2" s="1"/>
  <c r="Q130" i="2"/>
  <c r="V130" i="2" s="1"/>
  <c r="Q122" i="2"/>
  <c r="V122" i="2" s="1"/>
  <c r="Q114" i="2"/>
  <c r="V114" i="2" s="1"/>
  <c r="Q106" i="2"/>
  <c r="V106" i="2" s="1"/>
  <c r="Q98" i="2"/>
  <c r="V98" i="2" s="1"/>
  <c r="Q90" i="2"/>
  <c r="V90" i="2" s="1"/>
  <c r="Q82" i="2"/>
  <c r="V82" i="2" s="1"/>
  <c r="Q74" i="2"/>
  <c r="V74" i="2" s="1"/>
  <c r="Q65" i="2"/>
  <c r="V65" i="2" s="1"/>
  <c r="Q61" i="2"/>
  <c r="V61" i="2" s="1"/>
  <c r="Q57" i="2"/>
  <c r="V57" i="2" s="1"/>
  <c r="Q53" i="2"/>
  <c r="V53" i="2" s="1"/>
  <c r="Q49" i="2"/>
  <c r="V49" i="2" s="1"/>
  <c r="Q45" i="2"/>
  <c r="V45" i="2" s="1"/>
  <c r="Q41" i="2"/>
  <c r="V41" i="2" s="1"/>
  <c r="Q37" i="2"/>
  <c r="V37" i="2" s="1"/>
  <c r="Q33" i="2"/>
  <c r="V33" i="2" s="1"/>
  <c r="Q29" i="2"/>
  <c r="V29" i="2" s="1"/>
  <c r="Q279" i="2"/>
  <c r="V279" i="2" s="1"/>
  <c r="Q215" i="2"/>
  <c r="V215" i="2" s="1"/>
  <c r="Q189" i="2"/>
  <c r="V189" i="2" s="1"/>
  <c r="Q173" i="2"/>
  <c r="V173" i="2" s="1"/>
  <c r="Q147" i="2"/>
  <c r="V147" i="2" s="1"/>
  <c r="Q139" i="2"/>
  <c r="V139" i="2" s="1"/>
  <c r="Q131" i="2"/>
  <c r="V131" i="2" s="1"/>
  <c r="Q123" i="2"/>
  <c r="V123" i="2" s="1"/>
  <c r="Q115" i="2"/>
  <c r="V115" i="2" s="1"/>
  <c r="Q107" i="2"/>
  <c r="V107" i="2" s="1"/>
  <c r="Q99" i="2"/>
  <c r="V99" i="2" s="1"/>
  <c r="Q91" i="2"/>
  <c r="V91" i="2" s="1"/>
  <c r="Q83" i="2"/>
  <c r="V83" i="2" s="1"/>
  <c r="Q75" i="2"/>
  <c r="V75" i="2" s="1"/>
  <c r="Q328" i="2"/>
  <c r="V328" i="2" s="1"/>
  <c r="Q255" i="2"/>
  <c r="V255" i="2" s="1"/>
  <c r="Q199" i="2"/>
  <c r="V199" i="2" s="1"/>
  <c r="Q176" i="2"/>
  <c r="V176" i="2" s="1"/>
  <c r="Q163" i="2"/>
  <c r="V163" i="2" s="1"/>
  <c r="Q148" i="2"/>
  <c r="V148" i="2" s="1"/>
  <c r="Q140" i="2"/>
  <c r="V140" i="2" s="1"/>
  <c r="Q132" i="2"/>
  <c r="V132" i="2" s="1"/>
  <c r="Q124" i="2"/>
  <c r="V124" i="2" s="1"/>
  <c r="Q116" i="2"/>
  <c r="V116" i="2" s="1"/>
  <c r="Q108" i="2"/>
  <c r="V108" i="2" s="1"/>
  <c r="Q100" i="2"/>
  <c r="V100" i="2" s="1"/>
  <c r="Q92" i="2"/>
  <c r="V92" i="2" s="1"/>
  <c r="Q84" i="2"/>
  <c r="V84" i="2" s="1"/>
  <c r="Q76" i="2"/>
  <c r="V76" i="2" s="1"/>
  <c r="Q64" i="2"/>
  <c r="V64" i="2" s="1"/>
  <c r="Q60" i="2"/>
  <c r="V60" i="2" s="1"/>
  <c r="Q56" i="2"/>
  <c r="V56" i="2" s="1"/>
  <c r="Q52" i="2"/>
  <c r="V52" i="2" s="1"/>
  <c r="Q48" i="2"/>
  <c r="V48" i="2" s="1"/>
  <c r="Q44" i="2"/>
  <c r="V44" i="2" s="1"/>
  <c r="Q40" i="2"/>
  <c r="V40" i="2" s="1"/>
  <c r="Q36" i="2"/>
  <c r="V36" i="2" s="1"/>
  <c r="Q32" i="2"/>
  <c r="V32" i="2" s="1"/>
  <c r="Q28" i="2"/>
  <c r="V28" i="2" s="1"/>
  <c r="Q24" i="2"/>
  <c r="V24" i="2" s="1"/>
  <c r="Q20" i="2"/>
  <c r="V20" i="2" s="1"/>
  <c r="Q295" i="2"/>
  <c r="V295" i="2" s="1"/>
  <c r="Q231" i="2"/>
  <c r="V231" i="2" s="1"/>
  <c r="Q197" i="2"/>
  <c r="V197" i="2" s="1"/>
  <c r="Q167" i="2"/>
  <c r="V167" i="2" s="1"/>
  <c r="Q159" i="2"/>
  <c r="V159" i="2" s="1"/>
  <c r="Q149" i="2"/>
  <c r="V149" i="2" s="1"/>
  <c r="Q141" i="2"/>
  <c r="V141" i="2" s="1"/>
  <c r="Q133" i="2"/>
  <c r="V133" i="2" s="1"/>
  <c r="Q125" i="2"/>
  <c r="V125" i="2" s="1"/>
  <c r="Q117" i="2"/>
  <c r="V117" i="2" s="1"/>
  <c r="Q109" i="2"/>
  <c r="V109" i="2" s="1"/>
  <c r="Q101" i="2"/>
  <c r="V101" i="2" s="1"/>
  <c r="Q93" i="2"/>
  <c r="V93" i="2" s="1"/>
  <c r="Q85" i="2"/>
  <c r="V85" i="2" s="1"/>
  <c r="Q77" i="2"/>
  <c r="V77" i="2" s="1"/>
  <c r="Q69" i="2"/>
  <c r="V69" i="2" s="1"/>
  <c r="Q271" i="2"/>
  <c r="V271" i="2" s="1"/>
  <c r="Q207" i="2"/>
  <c r="V207" i="2" s="1"/>
  <c r="Q164" i="2"/>
  <c r="V164" i="2" s="1"/>
  <c r="Q155" i="2"/>
  <c r="V155" i="2" s="1"/>
  <c r="L1" i="2"/>
  <c r="AF19" i="2" s="1"/>
  <c r="Q8" i="2"/>
  <c r="V8" i="2" s="1"/>
  <c r="AD10" i="2" a="1"/>
  <c r="AD10" i="2" s="1"/>
  <c r="AC15" i="2"/>
  <c r="Q16" i="2"/>
  <c r="V16" i="2" s="1"/>
  <c r="Q31" i="2"/>
  <c r="V31" i="2" s="1"/>
  <c r="Q55" i="2"/>
  <c r="V55" i="2" s="1"/>
  <c r="Q63" i="2"/>
  <c r="V63" i="2" s="1"/>
  <c r="AF93" i="2"/>
  <c r="Q102" i="2"/>
  <c r="V102" i="2" s="1"/>
  <c r="AF106" i="2"/>
  <c r="AF135" i="2"/>
  <c r="L2" i="2"/>
  <c r="AF53" i="2" s="1"/>
  <c r="Q5" i="2"/>
  <c r="V5" i="2" s="1"/>
  <c r="AF5" i="2"/>
  <c r="AD7" i="2" a="1"/>
  <c r="AD7" i="2" s="1"/>
  <c r="Q13" i="2"/>
  <c r="V13" i="2" s="1"/>
  <c r="AD15" i="2" a="1"/>
  <c r="AD15" i="2" s="1"/>
  <c r="Q23" i="2"/>
  <c r="V23" i="2" s="1"/>
  <c r="Q47" i="2"/>
  <c r="V47" i="2" s="1"/>
  <c r="AF60" i="2"/>
  <c r="AF67" i="2"/>
  <c r="Q68" i="2"/>
  <c r="V68" i="2" s="1"/>
  <c r="AF95" i="2"/>
  <c r="AF117" i="2"/>
  <c r="Q126" i="2"/>
  <c r="V126" i="2" s="1"/>
  <c r="AF130" i="2"/>
  <c r="AD4" i="2" a="1"/>
  <c r="AD4" i="2" s="1"/>
  <c r="Q10" i="2"/>
  <c r="V10" i="2" s="1"/>
  <c r="AD12" i="2" a="1"/>
  <c r="AD12" i="2" s="1"/>
  <c r="Q17" i="2"/>
  <c r="V17" i="2" s="1"/>
  <c r="AF44" i="2"/>
  <c r="AF52" i="2"/>
  <c r="AF77" i="2"/>
  <c r="Q86" i="2"/>
  <c r="V86" i="2" s="1"/>
  <c r="AF90" i="2"/>
  <c r="AF119" i="2"/>
  <c r="AF141" i="2"/>
  <c r="Q7" i="2"/>
  <c r="V7" i="2" s="1"/>
  <c r="AD9" i="2" a="1"/>
  <c r="AD9" i="2" s="1"/>
  <c r="AC14" i="2"/>
  <c r="Q15" i="2"/>
  <c r="V15" i="2" s="1"/>
  <c r="Q25" i="2"/>
  <c r="V25" i="2" s="1"/>
  <c r="AF57" i="2"/>
  <c r="AF65" i="2"/>
  <c r="AF79" i="2"/>
  <c r="AF101" i="2"/>
  <c r="Q110" i="2"/>
  <c r="V110" i="2" s="1"/>
  <c r="AF114" i="2"/>
  <c r="AF143" i="2"/>
  <c r="AF149" i="2"/>
  <c r="AF153" i="2"/>
  <c r="O4" i="2"/>
  <c r="AF4" i="2"/>
  <c r="AD6" i="2" a="1"/>
  <c r="AD6" i="2" s="1"/>
  <c r="Q12" i="2"/>
  <c r="V12" i="2" s="1"/>
  <c r="AD14" i="2" a="1"/>
  <c r="AD14" i="2" s="1"/>
  <c r="Q18" i="2"/>
  <c r="V18" i="2" s="1"/>
  <c r="AF40" i="2"/>
  <c r="Q43" i="2"/>
  <c r="V43" i="2" s="1"/>
  <c r="Q59" i="2"/>
  <c r="V59" i="2" s="1"/>
  <c r="Q70" i="2"/>
  <c r="V70" i="2" s="1"/>
  <c r="AF74" i="2"/>
  <c r="AF103" i="2"/>
  <c r="AF125" i="2"/>
  <c r="Q134" i="2"/>
  <c r="V134" i="2" s="1"/>
  <c r="AF138" i="2"/>
  <c r="Q9" i="2"/>
  <c r="V9" i="2" s="1"/>
  <c r="Q19" i="2"/>
  <c r="V19" i="2" s="1"/>
  <c r="Q27" i="2"/>
  <c r="V27" i="2" s="1"/>
  <c r="Q51" i="2"/>
  <c r="V51" i="2" s="1"/>
  <c r="AF56" i="2"/>
  <c r="AF64" i="2"/>
  <c r="AF85" i="2"/>
  <c r="Q94" i="2"/>
  <c r="V94" i="2" s="1"/>
  <c r="AF98" i="2"/>
  <c r="AF127" i="2"/>
  <c r="AF159" i="2"/>
  <c r="AF167" i="2"/>
  <c r="AF174" i="2"/>
  <c r="AF179" i="2"/>
  <c r="AF187" i="2"/>
  <c r="AF211" i="2"/>
  <c r="AF231" i="2"/>
  <c r="AF262" i="2"/>
  <c r="AF275" i="2"/>
  <c r="AF295" i="2"/>
  <c r="AF360" i="2"/>
  <c r="AF391" i="2"/>
  <c r="AF163" i="2"/>
  <c r="AF182" i="2"/>
  <c r="AF199" i="2"/>
  <c r="AF222" i="2"/>
  <c r="AF235" i="2"/>
  <c r="AF255" i="2"/>
  <c r="AF286" i="2"/>
  <c r="AF299" i="2"/>
  <c r="AF343" i="2"/>
  <c r="AF347" i="2"/>
  <c r="AF374" i="2"/>
  <c r="AF438" i="2"/>
  <c r="AF215" i="2"/>
  <c r="AF246" i="2"/>
  <c r="AF259" i="2"/>
  <c r="AF279" i="2"/>
  <c r="AF310" i="2"/>
  <c r="AF319" i="2"/>
  <c r="AF321" i="2"/>
  <c r="AF351" i="2"/>
  <c r="AF353" i="2"/>
  <c r="AF401" i="2"/>
  <c r="AF191" i="2"/>
  <c r="AF206" i="2"/>
  <c r="AF219" i="2"/>
  <c r="AF239" i="2"/>
  <c r="AF270" i="2"/>
  <c r="AF283" i="2"/>
  <c r="AF303" i="2"/>
  <c r="AF325" i="2"/>
  <c r="AF166" i="2"/>
  <c r="AF175" i="2"/>
  <c r="AF203" i="2"/>
  <c r="AF230" i="2"/>
  <c r="AF243" i="2"/>
  <c r="AF263" i="2"/>
  <c r="AF294" i="2"/>
  <c r="AF307" i="2"/>
  <c r="AF359" i="2"/>
  <c r="AF363" i="2"/>
  <c r="AF183" i="2"/>
  <c r="AF198" i="2"/>
  <c r="AF223" i="2"/>
  <c r="AF254" i="2"/>
  <c r="AF267" i="2"/>
  <c r="AF287" i="2"/>
  <c r="AF316" i="2"/>
  <c r="AF344" i="2"/>
  <c r="AF369" i="2"/>
  <c r="AF377" i="2"/>
  <c r="AF171" i="2"/>
  <c r="AF195" i="2"/>
  <c r="AF214" i="2"/>
  <c r="AF227" i="2"/>
  <c r="AF247" i="2"/>
  <c r="AF278" i="2"/>
  <c r="AF291" i="2"/>
  <c r="AF311" i="2"/>
  <c r="AF331" i="2"/>
  <c r="AF398" i="2"/>
  <c r="AF408" i="2"/>
  <c r="AF445" i="2"/>
  <c r="AF155" i="2"/>
  <c r="AF190" i="2"/>
  <c r="AF207" i="2"/>
  <c r="AF238" i="2"/>
  <c r="AF251" i="2"/>
  <c r="AF271" i="2"/>
  <c r="AF302" i="2"/>
  <c r="AF313" i="2"/>
  <c r="AF335" i="2"/>
  <c r="AF337" i="2"/>
  <c r="AF334" i="2"/>
  <c r="AF350" i="2"/>
  <c r="AF368" i="2"/>
  <c r="AF371" i="2"/>
  <c r="AF382" i="2"/>
  <c r="AF403" i="2"/>
  <c r="V440" i="2"/>
  <c r="AF469" i="2"/>
  <c r="V487" i="2"/>
  <c r="AF320" i="2"/>
  <c r="AF376" i="2"/>
  <c r="AF379" i="2"/>
  <c r="AF390" i="2"/>
  <c r="AF400" i="2"/>
  <c r="AF435" i="2"/>
  <c r="AF449" i="2"/>
  <c r="AF451" i="2"/>
  <c r="AF482" i="2"/>
  <c r="AF384" i="2"/>
  <c r="AF387" i="2"/>
  <c r="AF395" i="2"/>
  <c r="AF437" i="2"/>
  <c r="AF453" i="2"/>
  <c r="AF462" i="2"/>
  <c r="AF486" i="2"/>
  <c r="AF510" i="2"/>
  <c r="AF336" i="2"/>
  <c r="AF339" i="2"/>
  <c r="AF352" i="2"/>
  <c r="AF355" i="2"/>
  <c r="AF392" i="2"/>
  <c r="AF446" i="2"/>
  <c r="AF477" i="2"/>
  <c r="AF501" i="2"/>
  <c r="AF312" i="2"/>
  <c r="AF342" i="2"/>
  <c r="AF358" i="2"/>
  <c r="V439" i="2"/>
  <c r="V466" i="2"/>
  <c r="AF490" i="2"/>
  <c r="AF406" i="2"/>
  <c r="V416" i="2"/>
  <c r="V425" i="2"/>
  <c r="V432" i="2"/>
  <c r="AF434" i="2"/>
  <c r="AF494" i="2"/>
  <c r="AF328" i="2"/>
  <c r="AF366" i="2"/>
  <c r="AF411" i="2"/>
  <c r="AF459" i="2"/>
  <c r="V481" i="2"/>
  <c r="AF518" i="2"/>
  <c r="AF561" i="2"/>
  <c r="V599" i="2"/>
  <c r="AF661" i="2"/>
  <c r="AF689" i="2"/>
  <c r="AF711" i="2"/>
  <c r="AF713" i="2"/>
  <c r="AF715" i="2"/>
  <c r="AF717" i="2"/>
  <c r="AF770" i="2"/>
  <c r="V446" i="2"/>
  <c r="V469" i="2"/>
  <c r="V486" i="2"/>
  <c r="AF489" i="2"/>
  <c r="AF513" i="2"/>
  <c r="V525" i="2"/>
  <c r="V530" i="2"/>
  <c r="V559" i="2"/>
  <c r="AF585" i="2"/>
  <c r="V672" i="2"/>
  <c r="AF693" i="2"/>
  <c r="V711" i="2"/>
  <c r="AF721" i="2"/>
  <c r="V739" i="2"/>
  <c r="AF743" i="2"/>
  <c r="AF745" i="2"/>
  <c r="AF747" i="2"/>
  <c r="V776" i="2"/>
  <c r="AF794" i="2"/>
  <c r="AF607" i="2"/>
  <c r="AF609" i="2"/>
  <c r="AF725" i="2"/>
  <c r="AF762" i="2"/>
  <c r="V438" i="2"/>
  <c r="V462" i="2"/>
  <c r="AF465" i="2"/>
  <c r="V477" i="2"/>
  <c r="V494" i="2"/>
  <c r="AF497" i="2"/>
  <c r="AF505" i="2"/>
  <c r="V510" i="2"/>
  <c r="V522" i="2"/>
  <c r="V539" i="2"/>
  <c r="AF541" i="2"/>
  <c r="AF569" i="2"/>
  <c r="V607" i="2"/>
  <c r="AF639" i="2"/>
  <c r="V674" i="2"/>
  <c r="V768" i="2"/>
  <c r="AF485" i="2"/>
  <c r="AF502" i="2"/>
  <c r="AF517" i="2"/>
  <c r="AF545" i="2"/>
  <c r="AF549" i="2"/>
  <c r="AF591" i="2"/>
  <c r="AF593" i="2"/>
  <c r="AF671" i="2"/>
  <c r="AF754" i="2"/>
  <c r="AF786" i="2"/>
  <c r="AF461" i="2"/>
  <c r="AF473" i="2"/>
  <c r="AF514" i="2"/>
  <c r="AF553" i="2"/>
  <c r="AF615" i="2"/>
  <c r="AF617" i="2"/>
  <c r="AF619" i="2"/>
  <c r="AF621" i="2"/>
  <c r="AF703" i="2"/>
  <c r="V473" i="2"/>
  <c r="V490" i="2"/>
  <c r="AF493" i="2"/>
  <c r="AF509" i="2"/>
  <c r="V514" i="2"/>
  <c r="AF521" i="2"/>
  <c r="AF577" i="2"/>
  <c r="V615" i="2"/>
  <c r="AF625" i="2"/>
  <c r="V643" i="2"/>
  <c r="AF647" i="2"/>
  <c r="AF649" i="2"/>
  <c r="AF651" i="2"/>
  <c r="AF653" i="2"/>
  <c r="AF735" i="2"/>
  <c r="AF778" i="2"/>
  <c r="V454" i="2"/>
  <c r="AF457" i="2"/>
  <c r="V478" i="2"/>
  <c r="AF481" i="2"/>
  <c r="AF506" i="2"/>
  <c r="AF533" i="2"/>
  <c r="V575" i="2"/>
  <c r="AF599" i="2"/>
  <c r="AF601" i="2"/>
  <c r="AF629" i="2"/>
  <c r="AF657" i="2"/>
  <c r="AF679" i="2"/>
  <c r="AF681" i="2"/>
  <c r="AF683" i="2"/>
  <c r="AF685" i="2"/>
  <c r="V752" i="2"/>
  <c r="V784" i="2"/>
  <c r="V518" i="2"/>
  <c r="V542" i="2"/>
  <c r="V545" i="2"/>
  <c r="V548" i="2"/>
  <c r="V620" i="2"/>
  <c r="AF627" i="2"/>
  <c r="V630" i="2"/>
  <c r="V652" i="2"/>
  <c r="AF659" i="2"/>
  <c r="V662" i="2"/>
  <c r="V684" i="2"/>
  <c r="AF691" i="2"/>
  <c r="V694" i="2"/>
  <c r="V716" i="2"/>
  <c r="AF723" i="2"/>
  <c r="V726" i="2"/>
  <c r="AF752" i="2"/>
  <c r="AF760" i="2"/>
  <c r="AF768" i="2"/>
  <c r="AF776" i="2"/>
  <c r="AF784" i="2"/>
  <c r="AF792" i="2"/>
  <c r="V792" i="2"/>
  <c r="V538" i="2"/>
  <c r="V541" i="2"/>
  <c r="V544" i="2"/>
  <c r="V558" i="2"/>
  <c r="V566" i="2"/>
  <c r="V574" i="2"/>
  <c r="V582" i="2"/>
  <c r="V590" i="2"/>
  <c r="AF595" i="2"/>
  <c r="V598" i="2"/>
  <c r="AF603" i="2"/>
  <c r="V606" i="2"/>
  <c r="AF611" i="2"/>
  <c r="V614" i="2"/>
  <c r="V624" i="2"/>
  <c r="AF631" i="2"/>
  <c r="V634" i="2"/>
  <c r="V656" i="2"/>
  <c r="AF663" i="2"/>
  <c r="V666" i="2"/>
  <c r="V688" i="2"/>
  <c r="AF695" i="2"/>
  <c r="V698" i="2"/>
  <c r="V720" i="2"/>
  <c r="AF727" i="2"/>
  <c r="V730" i="2"/>
  <c r="AF749" i="2"/>
  <c r="AF755" i="2"/>
  <c r="AF757" i="2"/>
  <c r="AF763" i="2"/>
  <c r="AF765" i="2"/>
  <c r="AF771" i="2"/>
  <c r="AF773" i="2"/>
  <c r="AF779" i="2"/>
  <c r="AF781" i="2"/>
  <c r="AF787" i="2"/>
  <c r="AF789" i="2"/>
  <c r="AF795" i="2"/>
  <c r="AF643" i="2"/>
  <c r="V646" i="2"/>
  <c r="AF675" i="2"/>
  <c r="V678" i="2"/>
  <c r="AF707" i="2"/>
  <c r="V710" i="2"/>
  <c r="AF739" i="2"/>
  <c r="V742" i="2"/>
  <c r="V753" i="2"/>
  <c r="V761" i="2"/>
  <c r="V769" i="2"/>
  <c r="V777" i="2"/>
  <c r="V785" i="2"/>
  <c r="V793" i="2"/>
  <c r="V546" i="2"/>
  <c r="V549" i="2"/>
  <c r="V552" i="2"/>
  <c r="V560" i="2"/>
  <c r="V568" i="2"/>
  <c r="V576" i="2"/>
  <c r="V584" i="2"/>
  <c r="V592" i="2"/>
  <c r="V600" i="2"/>
  <c r="V608" i="2"/>
  <c r="V616" i="2"/>
  <c r="AF623" i="2"/>
  <c r="V648" i="2"/>
  <c r="AF655" i="2"/>
  <c r="V680" i="2"/>
  <c r="AF687" i="2"/>
  <c r="V712" i="2"/>
  <c r="AF719" i="2"/>
  <c r="V744" i="2"/>
  <c r="V534" i="2"/>
  <c r="V537" i="2"/>
  <c r="V540" i="2"/>
  <c r="V557" i="2"/>
  <c r="V565" i="2"/>
  <c r="V573" i="2"/>
  <c r="V581" i="2"/>
  <c r="V589" i="2"/>
  <c r="V597" i="2"/>
  <c r="V628" i="2"/>
  <c r="AF635" i="2"/>
  <c r="V638" i="2"/>
  <c r="V660" i="2"/>
  <c r="AF667" i="2"/>
  <c r="V670" i="2"/>
  <c r="V692" i="2"/>
  <c r="AF699" i="2"/>
  <c r="V702" i="2"/>
  <c r="V724" i="2"/>
  <c r="AF731" i="2"/>
  <c r="V734" i="2"/>
  <c r="AF746" i="2"/>
  <c r="AF71" i="2" l="1"/>
  <c r="AF8" i="2"/>
  <c r="AF158" i="2"/>
  <c r="AF48" i="2"/>
  <c r="AF109" i="2"/>
  <c r="AF14" i="2"/>
  <c r="AF150" i="2"/>
  <c r="AF87" i="2"/>
  <c r="AF587" i="2"/>
  <c r="AF583" i="2"/>
  <c r="AF579" i="2"/>
  <c r="AF575" i="2"/>
  <c r="AF571" i="2"/>
  <c r="AF567" i="2"/>
  <c r="AF563" i="2"/>
  <c r="AF559" i="2"/>
  <c r="AF555" i="2"/>
  <c r="AF788" i="2"/>
  <c r="AF780" i="2"/>
  <c r="AF772" i="2"/>
  <c r="AF764" i="2"/>
  <c r="AF756" i="2"/>
  <c r="AF748" i="2"/>
  <c r="AF742" i="2"/>
  <c r="AF738" i="2"/>
  <c r="AF734" i="2"/>
  <c r="AF730" i="2"/>
  <c r="AF726" i="2"/>
  <c r="AF722" i="2"/>
  <c r="AF718" i="2"/>
  <c r="AF714" i="2"/>
  <c r="AF710" i="2"/>
  <c r="AF706" i="2"/>
  <c r="AF702" i="2"/>
  <c r="AF698" i="2"/>
  <c r="AF694" i="2"/>
  <c r="AF690" i="2"/>
  <c r="AF686" i="2"/>
  <c r="AF682" i="2"/>
  <c r="AF678" i="2"/>
  <c r="AF674" i="2"/>
  <c r="AF670" i="2"/>
  <c r="AF666" i="2"/>
  <c r="AF662" i="2"/>
  <c r="AF658" i="2"/>
  <c r="AF654" i="2"/>
  <c r="AF650" i="2"/>
  <c r="AF646" i="2"/>
  <c r="AF642" i="2"/>
  <c r="AF638" i="2"/>
  <c r="AF634" i="2"/>
  <c r="AF630" i="2"/>
  <c r="AF626" i="2"/>
  <c r="AF622" i="2"/>
  <c r="AF618" i="2"/>
  <c r="AF793" i="2"/>
  <c r="AF785" i="2"/>
  <c r="AF777" i="2"/>
  <c r="AF769" i="2"/>
  <c r="AF761" i="2"/>
  <c r="AF753" i="2"/>
  <c r="AF720" i="2"/>
  <c r="AF688" i="2"/>
  <c r="AF656" i="2"/>
  <c r="AF624" i="2"/>
  <c r="AF614" i="2"/>
  <c r="AF606" i="2"/>
  <c r="AF598" i="2"/>
  <c r="AF590" i="2"/>
  <c r="AF582" i="2"/>
  <c r="AF574" i="2"/>
  <c r="AF566" i="2"/>
  <c r="AF558" i="2"/>
  <c r="AF547" i="2"/>
  <c r="AF544" i="2"/>
  <c r="AF538" i="2"/>
  <c r="AF740" i="2"/>
  <c r="AF708" i="2"/>
  <c r="AF676" i="2"/>
  <c r="AF644" i="2"/>
  <c r="AF550" i="2"/>
  <c r="AF527" i="2"/>
  <c r="AF524" i="2"/>
  <c r="AF733" i="2"/>
  <c r="AF728" i="2"/>
  <c r="AF701" i="2"/>
  <c r="AF696" i="2"/>
  <c r="AF669" i="2"/>
  <c r="AF664" i="2"/>
  <c r="AF637" i="2"/>
  <c r="AF632" i="2"/>
  <c r="AF612" i="2"/>
  <c r="AF604" i="2"/>
  <c r="AF596" i="2"/>
  <c r="AF588" i="2"/>
  <c r="AF580" i="2"/>
  <c r="AF572" i="2"/>
  <c r="AF564" i="2"/>
  <c r="AF556" i="2"/>
  <c r="AF539" i="2"/>
  <c r="AF536" i="2"/>
  <c r="AF530" i="2"/>
  <c r="AF716" i="2"/>
  <c r="AF684" i="2"/>
  <c r="AF652" i="2"/>
  <c r="AF620" i="2"/>
  <c r="AF551" i="2"/>
  <c r="AF548" i="2"/>
  <c r="AF542" i="2"/>
  <c r="AF744" i="2"/>
  <c r="AF712" i="2"/>
  <c r="AF680" i="2"/>
  <c r="AF648" i="2"/>
  <c r="AF616" i="2"/>
  <c r="AF608" i="2"/>
  <c r="AF600" i="2"/>
  <c r="AF592" i="2"/>
  <c r="AF584" i="2"/>
  <c r="AF576" i="2"/>
  <c r="AF568" i="2"/>
  <c r="AF560" i="2"/>
  <c r="AF552" i="2"/>
  <c r="AF546" i="2"/>
  <c r="AF523" i="2"/>
  <c r="AF516" i="2"/>
  <c r="AF512" i="2"/>
  <c r="AF508" i="2"/>
  <c r="AF504" i="2"/>
  <c r="AF775" i="2"/>
  <c r="AF729" i="2"/>
  <c r="AF660" i="2"/>
  <c r="AF602" i="2"/>
  <c r="AF589" i="2"/>
  <c r="AF543" i="2"/>
  <c r="AF534" i="2"/>
  <c r="AF529" i="2"/>
  <c r="AF500" i="2"/>
  <c r="AF491" i="2"/>
  <c r="AF468" i="2"/>
  <c r="AF452" i="2"/>
  <c r="AF410" i="2"/>
  <c r="AF402" i="2"/>
  <c r="AF394" i="2"/>
  <c r="AF386" i="2"/>
  <c r="AF378" i="2"/>
  <c r="AF370" i="2"/>
  <c r="AF362" i="2"/>
  <c r="AF354" i="2"/>
  <c r="AF346" i="2"/>
  <c r="AF338" i="2"/>
  <c r="AF330" i="2"/>
  <c r="AF758" i="2"/>
  <c r="AF736" i="2"/>
  <c r="AF697" i="2"/>
  <c r="AF628" i="2"/>
  <c r="AF578" i="2"/>
  <c r="AF565" i="2"/>
  <c r="AF532" i="2"/>
  <c r="AF522" i="2"/>
  <c r="AF515" i="2"/>
  <c r="AF480" i="2"/>
  <c r="AF471" i="2"/>
  <c r="AF456" i="2"/>
  <c r="AF431" i="2"/>
  <c r="AF427" i="2"/>
  <c r="AF423" i="2"/>
  <c r="AF419" i="2"/>
  <c r="AF415" i="2"/>
  <c r="AF790" i="2"/>
  <c r="AF783" i="2"/>
  <c r="AF751" i="2"/>
  <c r="AF732" i="2"/>
  <c r="AF704" i="2"/>
  <c r="AF665" i="2"/>
  <c r="AF605" i="2"/>
  <c r="AF554" i="2"/>
  <c r="AF537" i="2"/>
  <c r="AF520" i="2"/>
  <c r="AF503" i="2"/>
  <c r="AF492" i="2"/>
  <c r="AF483" i="2"/>
  <c r="AF474" i="2"/>
  <c r="AF442" i="2"/>
  <c r="AF404" i="2"/>
  <c r="AF396" i="2"/>
  <c r="AF388" i="2"/>
  <c r="AF380" i="2"/>
  <c r="AF372" i="2"/>
  <c r="AF364" i="2"/>
  <c r="AF766" i="2"/>
  <c r="AF741" i="2"/>
  <c r="AF700" i="2"/>
  <c r="AF672" i="2"/>
  <c r="AF633" i="2"/>
  <c r="AF594" i="2"/>
  <c r="AF581" i="2"/>
  <c r="AF535" i="2"/>
  <c r="AF525" i="2"/>
  <c r="AF495" i="2"/>
  <c r="AF472" i="2"/>
  <c r="AF463" i="2"/>
  <c r="AF460" i="2"/>
  <c r="AF439" i="2"/>
  <c r="AF432" i="2"/>
  <c r="AF428" i="2"/>
  <c r="AF424" i="2"/>
  <c r="AF420" i="2"/>
  <c r="AF416" i="2"/>
  <c r="AF412" i="2"/>
  <c r="AF405" i="2"/>
  <c r="AF397" i="2"/>
  <c r="AF759" i="2"/>
  <c r="AF737" i="2"/>
  <c r="AF709" i="2"/>
  <c r="AF668" i="2"/>
  <c r="AF640" i="2"/>
  <c r="AF570" i="2"/>
  <c r="AF557" i="2"/>
  <c r="AF511" i="2"/>
  <c r="AF498" i="2"/>
  <c r="AF484" i="2"/>
  <c r="AF475" i="2"/>
  <c r="AF466" i="2"/>
  <c r="AF450" i="2"/>
  <c r="AF443" i="2"/>
  <c r="AF436" i="2"/>
  <c r="AF791" i="2"/>
  <c r="AF774" i="2"/>
  <c r="AF705" i="2"/>
  <c r="AF677" i="2"/>
  <c r="AF636" i="2"/>
  <c r="AF610" i="2"/>
  <c r="AF597" i="2"/>
  <c r="AF540" i="2"/>
  <c r="AF767" i="2"/>
  <c r="AF724" i="2"/>
  <c r="AF673" i="2"/>
  <c r="AF645" i="2"/>
  <c r="AF586" i="2"/>
  <c r="AF573" i="2"/>
  <c r="AF531" i="2"/>
  <c r="AF526" i="2"/>
  <c r="AF499" i="2"/>
  <c r="AF476" i="2"/>
  <c r="AF467" i="2"/>
  <c r="AF444" i="2"/>
  <c r="AF782" i="2"/>
  <c r="AF750" i="2"/>
  <c r="AF692" i="2"/>
  <c r="AF641" i="2"/>
  <c r="AF613" i="2"/>
  <c r="AF562" i="2"/>
  <c r="AF519" i="2"/>
  <c r="AF464" i="2"/>
  <c r="AF421" i="2"/>
  <c r="AF407" i="2"/>
  <c r="AF373" i="2"/>
  <c r="AF356" i="2"/>
  <c r="AF340" i="2"/>
  <c r="AF309" i="2"/>
  <c r="AF301" i="2"/>
  <c r="AF293" i="2"/>
  <c r="AF285" i="2"/>
  <c r="AF277" i="2"/>
  <c r="AF269" i="2"/>
  <c r="AF261" i="2"/>
  <c r="AF253" i="2"/>
  <c r="AF245" i="2"/>
  <c r="AF237" i="2"/>
  <c r="AF229" i="2"/>
  <c r="AF221" i="2"/>
  <c r="AF213" i="2"/>
  <c r="AF205" i="2"/>
  <c r="AF197" i="2"/>
  <c r="AF189" i="2"/>
  <c r="AF458" i="2"/>
  <c r="AF426" i="2"/>
  <c r="AF365" i="2"/>
  <c r="AF327" i="2"/>
  <c r="AF315" i="2"/>
  <c r="AF433" i="2"/>
  <c r="AF417" i="2"/>
  <c r="AF393" i="2"/>
  <c r="AF385" i="2"/>
  <c r="AF322" i="2"/>
  <c r="AF528" i="2"/>
  <c r="AF478" i="2"/>
  <c r="AF454" i="2"/>
  <c r="AF447" i="2"/>
  <c r="AF440" i="2"/>
  <c r="AF422" i="2"/>
  <c r="AF357" i="2"/>
  <c r="AF341" i="2"/>
  <c r="AF317" i="2"/>
  <c r="AF304" i="2"/>
  <c r="AF296" i="2"/>
  <c r="AF288" i="2"/>
  <c r="AF280" i="2"/>
  <c r="AF272" i="2"/>
  <c r="AF264" i="2"/>
  <c r="AF256" i="2"/>
  <c r="AF248" i="2"/>
  <c r="AF240" i="2"/>
  <c r="AF232" i="2"/>
  <c r="AF224" i="2"/>
  <c r="AF216" i="2"/>
  <c r="AF208" i="2"/>
  <c r="AF200" i="2"/>
  <c r="AF192" i="2"/>
  <c r="AF184" i="2"/>
  <c r="AF176" i="2"/>
  <c r="AF487" i="2"/>
  <c r="AF429" i="2"/>
  <c r="AF413" i="2"/>
  <c r="AF348" i="2"/>
  <c r="AF332" i="2"/>
  <c r="AF323" i="2"/>
  <c r="AF318" i="2"/>
  <c r="AF305" i="2"/>
  <c r="AF297" i="2"/>
  <c r="AF289" i="2"/>
  <c r="AF281" i="2"/>
  <c r="AF273" i="2"/>
  <c r="AF265" i="2"/>
  <c r="AF257" i="2"/>
  <c r="AF249" i="2"/>
  <c r="AF241" i="2"/>
  <c r="AF233" i="2"/>
  <c r="AF225" i="2"/>
  <c r="AF217" i="2"/>
  <c r="AF209" i="2"/>
  <c r="AF201" i="2"/>
  <c r="AF193" i="2"/>
  <c r="AF185" i="2"/>
  <c r="AF177" i="2"/>
  <c r="AF169" i="2"/>
  <c r="AF496" i="2"/>
  <c r="AF418" i="2"/>
  <c r="AF383" i="2"/>
  <c r="AF361" i="2"/>
  <c r="AF345" i="2"/>
  <c r="AF329" i="2"/>
  <c r="AF324" i="2"/>
  <c r="AF306" i="2"/>
  <c r="AF298" i="2"/>
  <c r="AF290" i="2"/>
  <c r="AF282" i="2"/>
  <c r="AF274" i="2"/>
  <c r="AF266" i="2"/>
  <c r="AF258" i="2"/>
  <c r="AF250" i="2"/>
  <c r="AF242" i="2"/>
  <c r="AF234" i="2"/>
  <c r="AF226" i="2"/>
  <c r="AF218" i="2"/>
  <c r="AF210" i="2"/>
  <c r="AF507" i="2"/>
  <c r="AF479" i="2"/>
  <c r="AF470" i="2"/>
  <c r="AF455" i="2"/>
  <c r="AF448" i="2"/>
  <c r="AF441" i="2"/>
  <c r="AF425" i="2"/>
  <c r="AF409" i="2"/>
  <c r="AF399" i="2"/>
  <c r="AF389" i="2"/>
  <c r="AF375" i="2"/>
  <c r="AF292" i="2"/>
  <c r="AF228" i="2"/>
  <c r="AF186" i="2"/>
  <c r="AF178" i="2"/>
  <c r="AF173" i="2"/>
  <c r="AF148" i="2"/>
  <c r="AF140" i="2"/>
  <c r="AF132" i="2"/>
  <c r="AF124" i="2"/>
  <c r="AF116" i="2"/>
  <c r="AF108" i="2"/>
  <c r="AF100" i="2"/>
  <c r="AF92" i="2"/>
  <c r="AF84" i="2"/>
  <c r="AF76" i="2"/>
  <c r="AF268" i="2"/>
  <c r="AF154" i="2"/>
  <c r="AF69" i="2"/>
  <c r="AF349" i="2"/>
  <c r="AF308" i="2"/>
  <c r="AF244" i="2"/>
  <c r="AF204" i="2"/>
  <c r="AF194" i="2"/>
  <c r="AF170" i="2"/>
  <c r="AF164" i="2"/>
  <c r="AF142" i="2"/>
  <c r="AF134" i="2"/>
  <c r="AF126" i="2"/>
  <c r="AF118" i="2"/>
  <c r="AF110" i="2"/>
  <c r="AF102" i="2"/>
  <c r="AF94" i="2"/>
  <c r="AF86" i="2"/>
  <c r="AF78" i="2"/>
  <c r="AF70" i="2"/>
  <c r="AF68" i="2"/>
  <c r="AF63" i="2"/>
  <c r="AF59" i="2"/>
  <c r="AF55" i="2"/>
  <c r="AF51" i="2"/>
  <c r="AF47" i="2"/>
  <c r="AF43" i="2"/>
  <c r="AF39" i="2"/>
  <c r="AF326" i="2"/>
  <c r="AF284" i="2"/>
  <c r="AF220" i="2"/>
  <c r="AF488" i="2"/>
  <c r="AF430" i="2"/>
  <c r="AF260" i="2"/>
  <c r="AF202" i="2"/>
  <c r="AF168" i="2"/>
  <c r="AF165" i="2"/>
  <c r="AF161" i="2"/>
  <c r="AF156" i="2"/>
  <c r="AF151" i="2"/>
  <c r="AF144" i="2"/>
  <c r="AF136" i="2"/>
  <c r="AF128" i="2"/>
  <c r="AF120" i="2"/>
  <c r="AF112" i="2"/>
  <c r="AF104" i="2"/>
  <c r="AF96" i="2"/>
  <c r="AF88" i="2"/>
  <c r="AF80" i="2"/>
  <c r="AF72" i="2"/>
  <c r="AF66" i="2"/>
  <c r="AF62" i="2"/>
  <c r="AF58" i="2"/>
  <c r="AF54" i="2"/>
  <c r="AF50" i="2"/>
  <c r="AF46" i="2"/>
  <c r="AF414" i="2"/>
  <c r="AF333" i="2"/>
  <c r="AF300" i="2"/>
  <c r="AF236" i="2"/>
  <c r="AF157" i="2"/>
  <c r="AF152" i="2"/>
  <c r="AF145" i="2"/>
  <c r="AF137" i="2"/>
  <c r="AF129" i="2"/>
  <c r="AF121" i="2"/>
  <c r="AF113" i="2"/>
  <c r="AF105" i="2"/>
  <c r="AF97" i="2"/>
  <c r="AF89" i="2"/>
  <c r="AF81" i="2"/>
  <c r="AF73" i="2"/>
  <c r="AF381" i="2"/>
  <c r="AF276" i="2"/>
  <c r="AF212" i="2"/>
  <c r="AF49" i="2"/>
  <c r="AF45" i="2"/>
  <c r="AF41" i="2"/>
  <c r="AF37" i="2"/>
  <c r="AF33" i="2"/>
  <c r="AF367" i="2"/>
  <c r="AF314" i="2"/>
  <c r="AF252" i="2"/>
  <c r="AF181" i="2"/>
  <c r="AF162" i="2"/>
  <c r="AF147" i="2"/>
  <c r="AF139" i="2"/>
  <c r="AF75" i="2"/>
  <c r="AF115" i="2"/>
  <c r="AF31" i="2"/>
  <c r="AF21" i="2"/>
  <c r="AF12" i="2"/>
  <c r="AF91" i="2"/>
  <c r="AF35" i="2"/>
  <c r="AF30" i="2"/>
  <c r="AF29" i="2"/>
  <c r="AF7" i="2"/>
  <c r="AF131" i="2"/>
  <c r="AF34" i="2"/>
  <c r="AF28" i="2"/>
  <c r="AF27" i="2"/>
  <c r="AF20" i="2"/>
  <c r="AF107" i="2"/>
  <c r="AF38" i="2"/>
  <c r="AF83" i="2"/>
  <c r="AF25" i="2"/>
  <c r="AF18" i="2"/>
  <c r="AF123" i="2"/>
  <c r="AF42" i="2"/>
  <c r="AF17" i="2"/>
  <c r="AF11" i="2"/>
  <c r="AF99" i="2"/>
  <c r="AF24" i="2"/>
  <c r="AF23" i="2"/>
  <c r="AF6" i="2"/>
  <c r="AF146" i="2"/>
  <c r="AF32" i="2"/>
  <c r="AF26" i="2"/>
  <c r="AF196" i="2"/>
  <c r="AF133" i="2"/>
  <c r="AF36" i="2"/>
  <c r="AF15" i="2"/>
  <c r="AF188" i="2"/>
  <c r="AF111" i="2"/>
  <c r="AF16" i="2"/>
  <c r="AF180" i="2"/>
  <c r="AF82" i="2"/>
  <c r="AF22" i="2"/>
  <c r="AF172" i="2"/>
  <c r="AF122" i="2"/>
  <c r="AF10" i="2"/>
  <c r="AF160" i="2"/>
  <c r="AF61" i="2"/>
  <c r="AF13" i="2"/>
  <c r="AF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<sst xmlns="http://schemas.openxmlformats.org/spreadsheetml/2006/main" count="904" uniqueCount="45">
  <si>
    <t>Y.M</t>
  </si>
  <si>
    <t>WaterFlow</t>
  </si>
  <si>
    <t>DET_WF</t>
  </si>
  <si>
    <t>DET_WF_STA</t>
  </si>
  <si>
    <t>G/B  RAW AVG</t>
  </si>
  <si>
    <t>DET_G/B</t>
  </si>
  <si>
    <t>DET_G/B_ST</t>
  </si>
  <si>
    <t>G/B _RAW_AVG</t>
  </si>
  <si>
    <t>DET_G/B_AVG</t>
  </si>
  <si>
    <t>DET_G/B_ST_AVG</t>
  </si>
  <si>
    <t>xName</t>
  </si>
  <si>
    <t>yName</t>
  </si>
  <si>
    <t>x</t>
  </si>
  <si>
    <t>y</t>
  </si>
  <si>
    <t>corr</t>
  </si>
  <si>
    <t>p.value</t>
  </si>
  <si>
    <t>G.B._RAW_AVG</t>
  </si>
  <si>
    <t>DET_G.B_AVG</t>
  </si>
  <si>
    <t>DET_G.B_ST_AVG</t>
  </si>
  <si>
    <t>STANDAR</t>
  </si>
  <si>
    <t>VAR1</t>
  </si>
  <si>
    <t>VAR2</t>
  </si>
  <si>
    <t>VAR3</t>
  </si>
  <si>
    <t>VAR4</t>
  </si>
  <si>
    <t>AVG G/B ST</t>
  </si>
  <si>
    <t>mes</t>
  </si>
  <si>
    <t>año</t>
  </si>
  <si>
    <t>Año.Mes</t>
  </si>
  <si>
    <t>G/B</t>
  </si>
  <si>
    <t>Promedio</t>
  </si>
  <si>
    <t>AÑO</t>
  </si>
  <si>
    <t>Seasonal total</t>
  </si>
  <si>
    <t>Sddirecto</t>
  </si>
  <si>
    <t>Diciembre</t>
  </si>
  <si>
    <t>Enero</t>
  </si>
  <si>
    <t>Noviembre</t>
  </si>
  <si>
    <t>Febrero</t>
  </si>
  <si>
    <t>Octubre</t>
  </si>
  <si>
    <t>Marzo</t>
  </si>
  <si>
    <t>Septiembre</t>
  </si>
  <si>
    <t>Abril</t>
  </si>
  <si>
    <t>Agosto</t>
  </si>
  <si>
    <t>Mayo</t>
  </si>
  <si>
    <t>Julio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</si>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</sst>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9" formatCode="0.0"/>
  </numFmts>
  <fonts count="2" x14ac:knownFonts="1">
    <font>
      <sz val="11"/>
      <color theme="1"/>
      <name val="Aptos Narrow"/>
      <family val="2"/>
      <scheme val="minor"/>
    </font>
    <font>
      <sz val="7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2" borderId="0" xfId="0" applyFill="1" applyAlignment="1">
      <alignment horizontal="right"/>
    </xf>
    <xf numFmtId="0" fontId="1" fillId="0" borderId="0" xfId="0" applyFont="1" applyAlignment="1">
      <alignment vertical="center"/>
    </xf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476250</xdr:colOff>
      <xdr:row>0</xdr:row>
      <xdr:rowOff>101600</xdr:rowOff>
    </xdr:from>
    <xdr:to>
      <xdr:col>14</xdr:col>
      <xdr:colOff>209550</xdr:colOff>
      <xdr:row>16</xdr:row>
      <xdr:rowOff>120649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088C9A-8F38-719A-28A4-D238555E5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4750" y="101600"/>
          <a:ext cx="5276850" cy="2965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CDF3-7DC6-471D-A267-2940EDF6D8D1}">
  <dimension ref="A1:O421"/>
  <sheetViews>
    <sheetView tabSelected="1" workbookViewId="0">
      <selection activeCell="G9" sqref="G9"/>
    </sheetView>
  </sheetViews>
  <sheetFormatPr defaultRowHeight="14.5" x14ac:dyDescent="0.35"/>
  <cols>
    <col min="2" max="2" width="9.453125" bestFit="1" customWidth="1"/>
    <col min="3" max="3" width="14" bestFit="1" customWidth="1"/>
    <col min="4" max="4" width="12.453125" bestFit="1" customWidth="1"/>
    <col min="5" max="5" width="15.453125" bestFit="1" customWidth="1"/>
    <col min="6" max="6" width="12.453125" bestFit="1" customWidth="1"/>
    <col min="7" max="7" width="14.90625" bestFit="1" customWidth="1"/>
    <col min="10" max="12" width="14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J1" s="3"/>
    </row>
    <row r="2" spans="1:10" x14ac:dyDescent="0.35">
      <c r="A2" s="1">
        <v>1981.0000000013999</v>
      </c>
      <c r="B2">
        <v>204.2</v>
      </c>
      <c r="C2">
        <v>-80.392119782722887</v>
      </c>
      <c r="D2">
        <v>-0.56752197170118668</v>
      </c>
      <c r="E2">
        <v>1.0405149380294523</v>
      </c>
      <c r="F2">
        <v>7.1141053237870899E-3</v>
      </c>
      <c r="G2">
        <v>0.26014767877000411</v>
      </c>
      <c r="J2" s="3"/>
    </row>
    <row r="3" spans="1:10" x14ac:dyDescent="0.35">
      <c r="A3" s="1">
        <v>1981.08333333473</v>
      </c>
      <c r="B3">
        <v>88.46</v>
      </c>
      <c r="C3">
        <v>-196.50195453316252</v>
      </c>
      <c r="D3">
        <v>-1.3871903985266334</v>
      </c>
      <c r="E3">
        <v>1.0220411396660058</v>
      </c>
      <c r="F3">
        <v>-1.1250718330373166E-2</v>
      </c>
      <c r="G3">
        <v>-0.41141480550696696</v>
      </c>
      <c r="J3" s="3"/>
    </row>
    <row r="4" spans="1:10" x14ac:dyDescent="0.35">
      <c r="A4" s="1">
        <v>1981.1666666680601</v>
      </c>
      <c r="B4">
        <v>97.09</v>
      </c>
      <c r="C4">
        <v>-188.24178928360394</v>
      </c>
      <c r="D4">
        <v>-1.3288783987724673</v>
      </c>
      <c r="E4">
        <v>1.0131913810712367</v>
      </c>
      <c r="F4">
        <v>-1.9991502215856105E-2</v>
      </c>
      <c r="G4">
        <v>-0.73104665448109463</v>
      </c>
      <c r="J4" s="3"/>
    </row>
    <row r="5" spans="1:10" x14ac:dyDescent="0.35">
      <c r="A5" s="1">
        <v>1981.2500000013899</v>
      </c>
      <c r="B5">
        <v>106</v>
      </c>
      <c r="C5">
        <v>-179.70162403404356</v>
      </c>
      <c r="D5">
        <v>-1.2685897606051477</v>
      </c>
      <c r="E5">
        <v>1.0106932650075804</v>
      </c>
      <c r="F5">
        <v>-2.2380643570226288E-2</v>
      </c>
      <c r="G5">
        <v>-0.81841246498079001</v>
      </c>
      <c r="J5" s="3"/>
    </row>
    <row r="6" spans="1:10" x14ac:dyDescent="0.35">
      <c r="A6" s="1">
        <v>1981.33333333472</v>
      </c>
      <c r="B6">
        <v>219.4</v>
      </c>
      <c r="C6">
        <v>-66.671458784483178</v>
      </c>
      <c r="D6">
        <v>-0.47066202319118483</v>
      </c>
      <c r="E6">
        <v>1.0208803238065098</v>
      </c>
      <c r="F6">
        <v>-1.208461006201067E-2</v>
      </c>
      <c r="G6">
        <v>-0.44190844995803391</v>
      </c>
      <c r="J6" s="3"/>
    </row>
    <row r="7" spans="1:10" x14ac:dyDescent="0.35">
      <c r="A7" s="1">
        <v>1981.4166666680501</v>
      </c>
      <c r="B7">
        <v>351.2</v>
      </c>
      <c r="C7">
        <v>64.758706465075363</v>
      </c>
      <c r="D7">
        <v>0.45715909565771823</v>
      </c>
      <c r="E7">
        <v>1.0211801241097858</v>
      </c>
      <c r="F7">
        <v>-1.1675835049448136E-2</v>
      </c>
      <c r="G7">
        <v>-0.4269604184323047</v>
      </c>
      <c r="J7" s="3"/>
    </row>
    <row r="8" spans="1:10" x14ac:dyDescent="0.35">
      <c r="A8" s="1">
        <v>1981.5000000013799</v>
      </c>
      <c r="B8">
        <v>385.8</v>
      </c>
      <c r="C8">
        <v>98.988871714635764</v>
      </c>
      <c r="D8">
        <v>0.69880430823068684</v>
      </c>
      <c r="E8">
        <v>1.0346439511104901</v>
      </c>
      <c r="F8">
        <v>1.8969666605419544E-3</v>
      </c>
      <c r="G8">
        <v>6.9368030269940942E-2</v>
      </c>
      <c r="J8" s="3"/>
    </row>
    <row r="9" spans="1:10" x14ac:dyDescent="0.35">
      <c r="A9" s="1">
        <v>1981.58333333471</v>
      </c>
      <c r="B9">
        <v>346.6</v>
      </c>
      <c r="C9">
        <v>59.419036964196152</v>
      </c>
      <c r="D9">
        <v>0.41946411048302862</v>
      </c>
      <c r="E9">
        <v>1.0520387840443313</v>
      </c>
      <c r="F9">
        <v>1.9400774303669266E-2</v>
      </c>
      <c r="G9">
        <v>0.70944499297259811</v>
      </c>
      <c r="J9" s="3"/>
    </row>
    <row r="10" spans="1:10" x14ac:dyDescent="0.35">
      <c r="A10" s="1">
        <v>1981.6666666680401</v>
      </c>
      <c r="B10">
        <v>310</v>
      </c>
      <c r="C10">
        <v>22.449202213754688</v>
      </c>
      <c r="D10">
        <v>0.1584784122859485</v>
      </c>
      <c r="E10">
        <v>1.061483460477288</v>
      </c>
      <c r="F10">
        <v>2.8954425445912646E-2</v>
      </c>
      <c r="G10">
        <v>1.0588016661333053</v>
      </c>
      <c r="J10" s="3"/>
    </row>
    <row r="11" spans="1:10" x14ac:dyDescent="0.35">
      <c r="A11" s="1">
        <v>1981.7500000013699</v>
      </c>
      <c r="B11">
        <v>303.7</v>
      </c>
      <c r="C11">
        <v>15.779367463315054</v>
      </c>
      <c r="D11">
        <v>0.11139322808230938</v>
      </c>
      <c r="E11">
        <v>1.0746828812652476</v>
      </c>
      <c r="F11">
        <v>4.2262820943157919E-2</v>
      </c>
      <c r="G11">
        <v>1.5454613428161175</v>
      </c>
      <c r="J11" s="3"/>
    </row>
    <row r="12" spans="1:10" x14ac:dyDescent="0.35">
      <c r="A12" s="1">
        <v>1981.8333333347</v>
      </c>
      <c r="B12">
        <v>320.60000000000002</v>
      </c>
      <c r="C12">
        <v>32.309532712875466</v>
      </c>
      <c r="D12">
        <v>0.22808665525317653</v>
      </c>
      <c r="E12">
        <v>1.082280608462675</v>
      </c>
      <c r="F12">
        <v>4.9969522849871995E-2</v>
      </c>
      <c r="G12">
        <v>1.8272790164033363</v>
      </c>
      <c r="J12" s="3"/>
    </row>
    <row r="13" spans="1:10" x14ac:dyDescent="0.35">
      <c r="A13" s="1">
        <v>1981.9166666680301</v>
      </c>
      <c r="B13">
        <v>341.9</v>
      </c>
      <c r="C13">
        <v>53.239697962433979</v>
      </c>
      <c r="D13">
        <v>0.37584154320195384</v>
      </c>
      <c r="E13">
        <v>1.0859090972379466</v>
      </c>
      <c r="F13">
        <v>5.3706986334429718E-2</v>
      </c>
      <c r="G13">
        <v>1.9639500953012523</v>
      </c>
      <c r="J13" s="3"/>
    </row>
    <row r="14" spans="1:10" x14ac:dyDescent="0.35">
      <c r="A14" s="1">
        <v>1982.0000000013599</v>
      </c>
      <c r="B14">
        <v>297.8</v>
      </c>
      <c r="C14">
        <v>8.7698632119943909</v>
      </c>
      <c r="D14">
        <v>6.191017322433548E-2</v>
      </c>
      <c r="E14">
        <v>1.0646811415892092</v>
      </c>
      <c r="F14">
        <v>3.2588005394978081E-2</v>
      </c>
      <c r="G14">
        <v>1.191673945408396</v>
      </c>
      <c r="J14" s="3"/>
    </row>
    <row r="15" spans="1:10" x14ac:dyDescent="0.35">
      <c r="A15" s="1">
        <v>1982.08333333469</v>
      </c>
      <c r="B15">
        <v>188.5</v>
      </c>
      <c r="C15">
        <v>-100.89997153844524</v>
      </c>
      <c r="D15">
        <v>-0.71229557009887767</v>
      </c>
      <c r="E15">
        <v>1.0224431745887967</v>
      </c>
      <c r="F15">
        <v>-9.5409868961477962E-3</v>
      </c>
      <c r="G15">
        <v>-0.34889356865562837</v>
      </c>
      <c r="J15" s="3"/>
    </row>
    <row r="16" spans="1:10" x14ac:dyDescent="0.35">
      <c r="A16" s="1">
        <v>1982.1666666680201</v>
      </c>
      <c r="B16">
        <v>120.9</v>
      </c>
      <c r="C16">
        <v>-168.86980628888668</v>
      </c>
      <c r="D16">
        <v>-1.1921233783222371</v>
      </c>
      <c r="E16">
        <v>0.99144154989259614</v>
      </c>
      <c r="F16">
        <v>-4.0433636883062229E-2</v>
      </c>
      <c r="G16">
        <v>-1.4785719778687461</v>
      </c>
      <c r="J16" s="3"/>
    </row>
    <row r="17" spans="1:15" x14ac:dyDescent="0.35">
      <c r="A17" s="1">
        <v>1982.2500000013499</v>
      </c>
      <c r="B17">
        <v>149.6</v>
      </c>
      <c r="C17">
        <v>-140.53964103932631</v>
      </c>
      <c r="D17">
        <v>-0.9921287608833026</v>
      </c>
      <c r="E17">
        <v>0.98560955935495487</v>
      </c>
      <c r="F17">
        <v>-4.6156652711417334E-2</v>
      </c>
      <c r="G17">
        <v>-1.6878504767872984</v>
      </c>
      <c r="J17" s="3"/>
    </row>
    <row r="18" spans="1:15" x14ac:dyDescent="0.35">
      <c r="A18" s="1">
        <v>1982.33333333468</v>
      </c>
      <c r="B18">
        <v>242.5</v>
      </c>
      <c r="C18">
        <v>-48.009475789765929</v>
      </c>
      <c r="D18">
        <v>-0.33891919300284706</v>
      </c>
      <c r="E18">
        <v>0.99579417884311439</v>
      </c>
      <c r="F18">
        <v>-3.5863058513971646E-2</v>
      </c>
      <c r="G18">
        <v>-1.3114356621637091</v>
      </c>
      <c r="J18" s="3"/>
    </row>
    <row r="19" spans="1:15" x14ac:dyDescent="0.35">
      <c r="A19" s="1">
        <v>1982.4166666680101</v>
      </c>
      <c r="B19">
        <v>352.6</v>
      </c>
      <c r="C19">
        <v>61.720689459792652</v>
      </c>
      <c r="D19">
        <v>0.43571244882766058</v>
      </c>
      <c r="E19">
        <v>1.0064306909583698</v>
      </c>
      <c r="F19">
        <v>-2.5117571689430074E-2</v>
      </c>
      <c r="G19">
        <v>-0.91849609669067678</v>
      </c>
      <c r="I19" s="3"/>
      <c r="J19" t="s">
        <v>10</v>
      </c>
      <c r="K19" t="s">
        <v>11</v>
      </c>
      <c r="L19" t="s">
        <v>12</v>
      </c>
      <c r="M19" t="s">
        <v>13</v>
      </c>
      <c r="N19" t="s">
        <v>14</v>
      </c>
      <c r="O19" t="s">
        <v>15</v>
      </c>
    </row>
    <row r="20" spans="1:15" x14ac:dyDescent="0.35">
      <c r="A20" s="1">
        <v>1982.5000000013399</v>
      </c>
      <c r="B20">
        <v>348.8</v>
      </c>
      <c r="C20">
        <v>57.550854709353018</v>
      </c>
      <c r="D20">
        <v>0.4062758218842053</v>
      </c>
      <c r="E20">
        <v>1.0153907717481609</v>
      </c>
      <c r="F20">
        <v>-1.6048516190352746E-2</v>
      </c>
      <c r="G20">
        <v>-0.58686005402024222</v>
      </c>
      <c r="I20" s="3">
        <v>1</v>
      </c>
      <c r="J20" t="s">
        <v>1</v>
      </c>
      <c r="K20" t="s">
        <v>1</v>
      </c>
      <c r="L20">
        <v>1</v>
      </c>
      <c r="M20">
        <v>6</v>
      </c>
      <c r="N20">
        <v>1</v>
      </c>
      <c r="O20" s="4">
        <v>0</v>
      </c>
    </row>
    <row r="21" spans="1:15" x14ac:dyDescent="0.35">
      <c r="A21" s="1">
        <v>1982.58333333467</v>
      </c>
      <c r="B21">
        <v>220.8</v>
      </c>
      <c r="C21">
        <v>-70.818980041086604</v>
      </c>
      <c r="D21">
        <v>-0.4999411297451829</v>
      </c>
      <c r="E21">
        <v>1.030254598296285</v>
      </c>
      <c r="F21">
        <v>-1.0757149329425619E-3</v>
      </c>
      <c r="G21">
        <v>-3.9336603843583347E-2</v>
      </c>
      <c r="I21" s="3">
        <v>2</v>
      </c>
      <c r="J21" t="s">
        <v>2</v>
      </c>
      <c r="K21" t="s">
        <v>1</v>
      </c>
      <c r="L21">
        <v>2</v>
      </c>
      <c r="M21">
        <v>6</v>
      </c>
      <c r="N21">
        <v>0.95327220000000001</v>
      </c>
      <c r="O21" s="4">
        <v>2.10079E-219</v>
      </c>
    </row>
    <row r="22" spans="1:15" x14ac:dyDescent="0.35">
      <c r="A22" s="1">
        <v>1982.6666666680001</v>
      </c>
      <c r="B22">
        <v>170.1</v>
      </c>
      <c r="C22">
        <v>-121.88881479152806</v>
      </c>
      <c r="D22">
        <v>-0.86046469088969979</v>
      </c>
      <c r="E22">
        <v>1.033407916353992</v>
      </c>
      <c r="F22">
        <v>2.1865778340506292E-3</v>
      </c>
      <c r="G22">
        <v>7.9958494018379692E-2</v>
      </c>
      <c r="I22" s="3">
        <v>3</v>
      </c>
      <c r="J22" t="s">
        <v>2</v>
      </c>
      <c r="K22" t="s">
        <v>2</v>
      </c>
      <c r="L22">
        <v>2</v>
      </c>
      <c r="M22">
        <v>5</v>
      </c>
      <c r="N22">
        <v>1</v>
      </c>
      <c r="O22" s="4">
        <v>0</v>
      </c>
    </row>
    <row r="23" spans="1:15" x14ac:dyDescent="0.35">
      <c r="A23" s="1">
        <v>1982.7500000013299</v>
      </c>
      <c r="B23">
        <v>221</v>
      </c>
      <c r="C23">
        <v>-71.358649541967679</v>
      </c>
      <c r="D23">
        <v>-0.50375088498033271</v>
      </c>
      <c r="E23">
        <v>1.0289477947952101</v>
      </c>
      <c r="F23">
        <v>-2.1645690154450392E-3</v>
      </c>
      <c r="G23">
        <v>-7.9153678400399816E-2</v>
      </c>
      <c r="I23" s="3">
        <v>4</v>
      </c>
      <c r="J23" t="s">
        <v>3</v>
      </c>
      <c r="K23" t="s">
        <v>1</v>
      </c>
      <c r="L23">
        <v>3</v>
      </c>
      <c r="M23">
        <v>6</v>
      </c>
      <c r="N23">
        <v>0.95327220000000001</v>
      </c>
      <c r="O23" s="4">
        <v>2.10079E-219</v>
      </c>
    </row>
    <row r="24" spans="1:15" x14ac:dyDescent="0.35">
      <c r="A24" s="1">
        <v>1982.83333333466</v>
      </c>
      <c r="B24">
        <v>299.5</v>
      </c>
      <c r="C24">
        <v>6.7715157075926982</v>
      </c>
      <c r="D24">
        <v>4.7802993081463976E-2</v>
      </c>
      <c r="E24">
        <v>1.0302348627926785</v>
      </c>
      <c r="F24">
        <v>-7.685263086905092E-4</v>
      </c>
      <c r="G24">
        <v>-2.8103370161124304E-2</v>
      </c>
      <c r="I24" s="3">
        <v>5</v>
      </c>
      <c r="J24" t="s">
        <v>3</v>
      </c>
      <c r="K24" t="s">
        <v>2</v>
      </c>
      <c r="L24">
        <v>3</v>
      </c>
      <c r="M24">
        <v>5</v>
      </c>
      <c r="N24">
        <v>1</v>
      </c>
      <c r="O24" s="4">
        <v>0</v>
      </c>
    </row>
    <row r="25" spans="1:15" x14ac:dyDescent="0.35">
      <c r="A25" s="1">
        <v>1982.9166666679901</v>
      </c>
      <c r="B25">
        <v>264.39999999999998</v>
      </c>
      <c r="C25">
        <v>-28.698319042848766</v>
      </c>
      <c r="D25">
        <v>-0.20259357075950588</v>
      </c>
      <c r="E25">
        <v>1.0365682776446001</v>
      </c>
      <c r="F25">
        <v>5.6738632525172861E-3</v>
      </c>
      <c r="G25">
        <v>0.20748109391428438</v>
      </c>
      <c r="I25" s="3">
        <v>6</v>
      </c>
      <c r="J25" t="s">
        <v>3</v>
      </c>
      <c r="K25" t="s">
        <v>3</v>
      </c>
      <c r="L25">
        <v>3</v>
      </c>
      <c r="M25">
        <v>4</v>
      </c>
      <c r="N25">
        <v>1</v>
      </c>
      <c r="O25" s="4">
        <v>0</v>
      </c>
    </row>
    <row r="26" spans="1:15" x14ac:dyDescent="0.35">
      <c r="A26" s="1">
        <v>1983.0000000013199</v>
      </c>
      <c r="B26">
        <v>84.92</v>
      </c>
      <c r="C26">
        <v>-208.54815379328835</v>
      </c>
      <c r="D26">
        <v>-1.4722296134905992</v>
      </c>
      <c r="E26">
        <v>1.029064952139374</v>
      </c>
      <c r="F26">
        <v>-1.7204875434226885E-3</v>
      </c>
      <c r="G26">
        <v>-6.2914564854371011E-2</v>
      </c>
      <c r="I26" s="3">
        <v>7</v>
      </c>
      <c r="J26" t="s">
        <v>16</v>
      </c>
      <c r="K26" t="s">
        <v>1</v>
      </c>
      <c r="L26">
        <v>4</v>
      </c>
      <c r="M26">
        <v>6</v>
      </c>
      <c r="N26">
        <v>0.4239173</v>
      </c>
      <c r="O26" s="4">
        <v>9.5249069999999996E-20</v>
      </c>
    </row>
    <row r="27" spans="1:15" x14ac:dyDescent="0.35">
      <c r="A27" s="1">
        <v>1983.08333333465</v>
      </c>
      <c r="B27">
        <v>40.630000000000003</v>
      </c>
      <c r="C27">
        <v>-253.20798854372981</v>
      </c>
      <c r="D27">
        <v>-1.7875022738200048</v>
      </c>
      <c r="E27">
        <v>1.0084504456901542</v>
      </c>
      <c r="F27">
        <v>-2.2226019283356324E-2</v>
      </c>
      <c r="G27">
        <v>-0.81275818415700296</v>
      </c>
      <c r="I27" s="3">
        <v>8</v>
      </c>
      <c r="J27" t="s">
        <v>16</v>
      </c>
      <c r="K27" t="s">
        <v>2</v>
      </c>
      <c r="L27">
        <v>4</v>
      </c>
      <c r="M27">
        <v>5</v>
      </c>
      <c r="N27">
        <v>0.58270239999999995</v>
      </c>
      <c r="O27" s="4">
        <v>1.4834950000000001E-39</v>
      </c>
    </row>
    <row r="28" spans="1:15" x14ac:dyDescent="0.35">
      <c r="A28" s="1">
        <v>1983.1666666679801</v>
      </c>
      <c r="B28">
        <v>39.31</v>
      </c>
      <c r="C28">
        <v>-254.89782329416943</v>
      </c>
      <c r="D28">
        <v>-1.7994315319613576</v>
      </c>
      <c r="E28">
        <v>0.99066276646601326</v>
      </c>
      <c r="F28">
        <v>-3.990472379821064E-2</v>
      </c>
      <c r="G28">
        <v>-1.4592307529314152</v>
      </c>
      <c r="I28" s="3">
        <v>9</v>
      </c>
      <c r="J28" t="s">
        <v>16</v>
      </c>
      <c r="K28" t="s">
        <v>3</v>
      </c>
      <c r="L28">
        <v>4</v>
      </c>
      <c r="M28">
        <v>4</v>
      </c>
      <c r="N28">
        <v>0.58270239999999995</v>
      </c>
      <c r="O28" s="4">
        <v>1.4834950000000001E-39</v>
      </c>
    </row>
    <row r="29" spans="1:15" x14ac:dyDescent="0.35">
      <c r="A29" s="1">
        <v>1983.2500000013099</v>
      </c>
      <c r="B29">
        <v>62.67</v>
      </c>
      <c r="C29">
        <v>-231.90765804460904</v>
      </c>
      <c r="D29">
        <v>-1.6371342328301757</v>
      </c>
      <c r="E29">
        <v>0.98301818210129077</v>
      </c>
      <c r="F29">
        <v>-4.7440333453647399E-2</v>
      </c>
      <c r="G29">
        <v>-1.7347919473129487</v>
      </c>
      <c r="I29" s="3">
        <v>10</v>
      </c>
      <c r="J29" t="s">
        <v>16</v>
      </c>
      <c r="K29" t="s">
        <v>16</v>
      </c>
      <c r="L29">
        <v>4</v>
      </c>
      <c r="M29">
        <v>3</v>
      </c>
      <c r="N29">
        <v>1</v>
      </c>
      <c r="O29" s="4">
        <v>0</v>
      </c>
    </row>
    <row r="30" spans="1:15" x14ac:dyDescent="0.35">
      <c r="A30" s="1">
        <v>1983.33333333464</v>
      </c>
      <c r="B30">
        <v>81.27</v>
      </c>
      <c r="C30">
        <v>-213.67749279505051</v>
      </c>
      <c r="D30">
        <v>-1.5084397867223969</v>
      </c>
      <c r="E30">
        <v>0.99026165119046727</v>
      </c>
      <c r="F30">
        <v>-4.0087889655184727E-2</v>
      </c>
      <c r="G30">
        <v>-1.465928738180861</v>
      </c>
      <c r="I30" s="3">
        <v>11</v>
      </c>
      <c r="J30" t="s">
        <v>17</v>
      </c>
      <c r="K30" t="s">
        <v>1</v>
      </c>
      <c r="L30">
        <v>5</v>
      </c>
      <c r="M30">
        <v>6</v>
      </c>
      <c r="N30">
        <v>0.61704939999999997</v>
      </c>
      <c r="O30" s="4">
        <v>1.9911679999999999E-45</v>
      </c>
    </row>
    <row r="31" spans="1:15" x14ac:dyDescent="0.35">
      <c r="A31" s="1">
        <v>1983.41666666797</v>
      </c>
      <c r="B31">
        <v>104.4</v>
      </c>
      <c r="C31">
        <v>-190.91732754549011</v>
      </c>
      <c r="D31">
        <v>-1.3477661548591515</v>
      </c>
      <c r="E31">
        <v>0.99512808476496106</v>
      </c>
      <c r="F31">
        <v>-3.5112481371404325E-2</v>
      </c>
      <c r="G31">
        <v>-1.28398865477631</v>
      </c>
      <c r="I31" s="3">
        <v>12</v>
      </c>
      <c r="J31" t="s">
        <v>17</v>
      </c>
      <c r="K31" t="s">
        <v>2</v>
      </c>
      <c r="L31">
        <v>5</v>
      </c>
      <c r="M31">
        <v>5</v>
      </c>
      <c r="N31">
        <v>0.64729610000000004</v>
      </c>
      <c r="O31" s="4">
        <v>3.1087669999999998E-51</v>
      </c>
    </row>
    <row r="32" spans="1:15" x14ac:dyDescent="0.35">
      <c r="A32" s="1">
        <v>1983.5000000012999</v>
      </c>
      <c r="B32">
        <v>141.80000000000001</v>
      </c>
      <c r="C32">
        <v>-153.88716229592973</v>
      </c>
      <c r="D32">
        <v>-1.0863545581547771</v>
      </c>
      <c r="E32">
        <v>1.0017430496375193</v>
      </c>
      <c r="F32">
        <v>-2.8388541789560406E-2</v>
      </c>
      <c r="G32">
        <v>-1.0381085061428961</v>
      </c>
      <c r="I32" s="3">
        <v>13</v>
      </c>
      <c r="J32" t="s">
        <v>17</v>
      </c>
      <c r="K32" t="s">
        <v>3</v>
      </c>
      <c r="L32">
        <v>5</v>
      </c>
      <c r="M32">
        <v>4</v>
      </c>
      <c r="N32">
        <v>0.64729610000000004</v>
      </c>
      <c r="O32" s="4">
        <v>3.1087669999999998E-51</v>
      </c>
    </row>
    <row r="33" spans="1:15" x14ac:dyDescent="0.35">
      <c r="A33" s="1">
        <v>1983.58333333463</v>
      </c>
      <c r="B33">
        <v>209.2</v>
      </c>
      <c r="C33">
        <v>-86.856997046371191</v>
      </c>
      <c r="D33">
        <v>-0.61316027432820974</v>
      </c>
      <c r="E33">
        <v>1.0109189666031719</v>
      </c>
      <c r="F33">
        <v>-1.9103650114621118E-2</v>
      </c>
      <c r="G33">
        <v>-0.69857979424849848</v>
      </c>
      <c r="I33" s="3">
        <v>14</v>
      </c>
      <c r="J33" t="s">
        <v>17</v>
      </c>
      <c r="K33" t="s">
        <v>16</v>
      </c>
      <c r="L33">
        <v>5</v>
      </c>
      <c r="M33">
        <v>3</v>
      </c>
      <c r="N33">
        <v>0.90020999999999995</v>
      </c>
      <c r="O33" s="4">
        <v>5.1906389999999998E-153</v>
      </c>
    </row>
    <row r="34" spans="1:15" x14ac:dyDescent="0.35">
      <c r="A34" s="1">
        <v>1983.66666666796</v>
      </c>
      <c r="B34">
        <v>224.2</v>
      </c>
      <c r="C34">
        <v>-72.226831796810814</v>
      </c>
      <c r="D34">
        <v>-0.50987975067508251</v>
      </c>
      <c r="E34">
        <v>1.0190711146606664</v>
      </c>
      <c r="F34">
        <v>-1.0842527347840525E-2</v>
      </c>
      <c r="G34">
        <v>-0.39648813071545708</v>
      </c>
      <c r="I34" s="3">
        <v>15</v>
      </c>
      <c r="J34" t="s">
        <v>17</v>
      </c>
      <c r="K34" t="s">
        <v>17</v>
      </c>
      <c r="L34">
        <v>5</v>
      </c>
      <c r="M34">
        <v>2</v>
      </c>
      <c r="N34">
        <v>1</v>
      </c>
      <c r="O34" s="4">
        <v>0</v>
      </c>
    </row>
    <row r="35" spans="1:15" x14ac:dyDescent="0.35">
      <c r="A35" s="1">
        <v>1983.7500000012899</v>
      </c>
      <c r="B35">
        <v>272.2</v>
      </c>
      <c r="C35">
        <v>-24.596666547250436</v>
      </c>
      <c r="D35">
        <v>-0.17363827118752864</v>
      </c>
      <c r="E35">
        <v>1.0290375343922267</v>
      </c>
      <c r="F35">
        <v>-7.6713290699403913E-4</v>
      </c>
      <c r="G35">
        <v>-2.8052416429005828E-2</v>
      </c>
      <c r="I35" s="3">
        <v>16</v>
      </c>
      <c r="J35" t="s">
        <v>18</v>
      </c>
      <c r="K35" t="s">
        <v>1</v>
      </c>
      <c r="L35">
        <v>6</v>
      </c>
      <c r="M35">
        <v>6</v>
      </c>
      <c r="N35">
        <v>0.61704939999999997</v>
      </c>
      <c r="O35" s="4">
        <v>1.9911679999999999E-45</v>
      </c>
    </row>
    <row r="36" spans="1:15" x14ac:dyDescent="0.35">
      <c r="A36" s="1">
        <v>1983.83333333462</v>
      </c>
      <c r="B36">
        <v>313.10000000000002</v>
      </c>
      <c r="C36">
        <v>15.933498702308157</v>
      </c>
      <c r="D36">
        <v>0.11248130568109052</v>
      </c>
      <c r="E36">
        <v>1.0382674481946226</v>
      </c>
      <c r="F36">
        <v>8.5717556046880361E-3</v>
      </c>
      <c r="G36">
        <v>0.31345084477275031</v>
      </c>
      <c r="I36" s="3">
        <v>17</v>
      </c>
      <c r="J36" t="s">
        <v>18</v>
      </c>
      <c r="K36" t="s">
        <v>2</v>
      </c>
      <c r="L36">
        <v>6</v>
      </c>
      <c r="M36">
        <v>5</v>
      </c>
      <c r="N36">
        <v>0.64729610000000004</v>
      </c>
      <c r="O36" s="4">
        <v>3.108768E-51</v>
      </c>
    </row>
    <row r="37" spans="1:15" x14ac:dyDescent="0.35">
      <c r="A37" s="1">
        <v>1983.91666666795</v>
      </c>
      <c r="B37">
        <v>310.5</v>
      </c>
      <c r="C37">
        <v>12.963663951868512</v>
      </c>
      <c r="D37">
        <v>9.1515986222523382E-2</v>
      </c>
      <c r="E37">
        <v>1.0565434459117149</v>
      </c>
      <c r="F37">
        <v>2.6956728031066524E-2</v>
      </c>
      <c r="G37">
        <v>0.98575012673320694</v>
      </c>
      <c r="I37" s="3">
        <v>18</v>
      </c>
      <c r="J37" t="s">
        <v>18</v>
      </c>
      <c r="K37" t="s">
        <v>3</v>
      </c>
      <c r="L37">
        <v>6</v>
      </c>
      <c r="M37">
        <v>4</v>
      </c>
      <c r="N37">
        <v>0.64729610000000004</v>
      </c>
      <c r="O37" s="4">
        <v>3.108768E-51</v>
      </c>
    </row>
    <row r="38" spans="1:15" x14ac:dyDescent="0.35">
      <c r="A38" s="1">
        <v>1984.0000000012799</v>
      </c>
      <c r="B38">
        <v>347.1</v>
      </c>
      <c r="C38">
        <v>49.193829201428912</v>
      </c>
      <c r="D38">
        <v>0.34728004460363909</v>
      </c>
      <c r="E38">
        <v>1.0465580057567658</v>
      </c>
      <c r="F38">
        <v>1.7080262585403627E-2</v>
      </c>
      <c r="G38">
        <v>0.62458882208531219</v>
      </c>
      <c r="I38" s="3">
        <v>19</v>
      </c>
      <c r="J38" t="s">
        <v>18</v>
      </c>
      <c r="K38" t="s">
        <v>16</v>
      </c>
      <c r="L38">
        <v>6</v>
      </c>
      <c r="M38">
        <v>3</v>
      </c>
      <c r="N38">
        <v>0.90020999999999995</v>
      </c>
      <c r="O38" s="4">
        <v>5.1906370000000003E-153</v>
      </c>
    </row>
    <row r="39" spans="1:15" x14ac:dyDescent="0.35">
      <c r="A39" s="1">
        <v>1984.08333333461</v>
      </c>
      <c r="B39">
        <v>223.7</v>
      </c>
      <c r="C39">
        <v>-74.576005549012564</v>
      </c>
      <c r="D39">
        <v>-0.5264635616670239</v>
      </c>
      <c r="E39">
        <v>1.0115064860115996</v>
      </c>
      <c r="F39">
        <v>-1.7862282450476386E-2</v>
      </c>
      <c r="G39">
        <v>-0.65318562286230675</v>
      </c>
      <c r="I39" s="3">
        <v>20</v>
      </c>
      <c r="J39" t="s">
        <v>18</v>
      </c>
      <c r="K39" t="s">
        <v>17</v>
      </c>
      <c r="L39">
        <v>6</v>
      </c>
      <c r="M39">
        <v>2</v>
      </c>
      <c r="N39">
        <v>1</v>
      </c>
      <c r="O39" s="4">
        <v>0</v>
      </c>
    </row>
    <row r="40" spans="1:15" x14ac:dyDescent="0.35">
      <c r="A40" s="1">
        <v>1984.16666666794</v>
      </c>
      <c r="B40">
        <v>173.2</v>
      </c>
      <c r="C40">
        <v>-125.44584029945219</v>
      </c>
      <c r="D40">
        <v>-0.88557523823071316</v>
      </c>
      <c r="E40">
        <v>0.99398514541453431</v>
      </c>
      <c r="F40">
        <v>-3.5274648338255554E-2</v>
      </c>
      <c r="G40">
        <v>-1.2899187553412343</v>
      </c>
      <c r="I40" s="3">
        <v>21</v>
      </c>
      <c r="J40" t="s">
        <v>18</v>
      </c>
      <c r="K40" t="s">
        <v>18</v>
      </c>
      <c r="L40">
        <v>6</v>
      </c>
      <c r="M40">
        <v>1</v>
      </c>
      <c r="N40">
        <v>1</v>
      </c>
      <c r="O40" s="4">
        <v>0</v>
      </c>
    </row>
    <row r="41" spans="1:15" x14ac:dyDescent="0.35">
      <c r="A41" s="1">
        <v>1984.2500000012701</v>
      </c>
      <c r="B41">
        <v>131.1</v>
      </c>
      <c r="C41">
        <v>-167.91567504989362</v>
      </c>
      <c r="D41">
        <v>-1.1853877624001976</v>
      </c>
      <c r="E41">
        <v>0.99157937057160739</v>
      </c>
      <c r="F41">
        <v>-3.7571448471896307E-2</v>
      </c>
      <c r="G41">
        <v>-1.373907844084052</v>
      </c>
    </row>
    <row r="42" spans="1:15" x14ac:dyDescent="0.35">
      <c r="A42" s="1">
        <v>1984.3333333346</v>
      </c>
      <c r="B42">
        <v>219.3</v>
      </c>
      <c r="C42">
        <v>-80.085509800333227</v>
      </c>
      <c r="D42">
        <v>-0.56535748216888748</v>
      </c>
      <c r="E42">
        <v>1.0035419787067819</v>
      </c>
      <c r="F42">
        <v>-2.5499865627435669E-2</v>
      </c>
      <c r="G42">
        <v>-0.93247577172408791</v>
      </c>
    </row>
    <row r="43" spans="1:15" x14ac:dyDescent="0.35">
      <c r="A43" s="1">
        <v>1984.41666666793</v>
      </c>
      <c r="B43">
        <v>321.7</v>
      </c>
      <c r="C43">
        <v>21.944655449227128</v>
      </c>
      <c r="D43">
        <v>0.15491660330026644</v>
      </c>
      <c r="E43">
        <v>1.0152259063357234</v>
      </c>
      <c r="F43">
        <v>-1.3706963289207952E-2</v>
      </c>
      <c r="G43">
        <v>-0.50123445189241989</v>
      </c>
    </row>
    <row r="44" spans="1:15" x14ac:dyDescent="0.35">
      <c r="A44" s="1">
        <v>1984.5000000012601</v>
      </c>
      <c r="B44">
        <v>390.4</v>
      </c>
      <c r="C44">
        <v>90.274820698785675</v>
      </c>
      <c r="D44">
        <v>0.63728813690212949</v>
      </c>
      <c r="E44">
        <v>1.0207281353904327</v>
      </c>
      <c r="F44">
        <v>-8.0957595252120207E-3</v>
      </c>
      <c r="G44">
        <v>-0.29604468200972583</v>
      </c>
    </row>
    <row r="45" spans="1:15" x14ac:dyDescent="0.35">
      <c r="A45" s="1">
        <v>1984.58333333459</v>
      </c>
      <c r="B45">
        <v>438.9</v>
      </c>
      <c r="C45">
        <v>138.40498594834605</v>
      </c>
      <c r="D45">
        <v>0.97705932784172012</v>
      </c>
      <c r="E45">
        <v>1.0234822387369134</v>
      </c>
      <c r="F45">
        <v>-5.2326814694456658E-3</v>
      </c>
      <c r="G45">
        <v>-0.19134801581692151</v>
      </c>
    </row>
    <row r="46" spans="1:15" x14ac:dyDescent="0.35">
      <c r="A46" s="1">
        <v>1984.66666666792</v>
      </c>
      <c r="B46">
        <v>426.4</v>
      </c>
      <c r="C46">
        <v>125.53515119790643</v>
      </c>
      <c r="D46">
        <v>0.88620572163282518</v>
      </c>
      <c r="E46">
        <v>1.0320212148036396</v>
      </c>
      <c r="F46">
        <v>3.4152693065667705E-3</v>
      </c>
      <c r="G46">
        <v>0.12488912407678195</v>
      </c>
    </row>
    <row r="47" spans="1:15" x14ac:dyDescent="0.35">
      <c r="A47" s="1">
        <v>1984.7500000012501</v>
      </c>
      <c r="B47">
        <v>474.2</v>
      </c>
      <c r="C47">
        <v>172.965316447465</v>
      </c>
      <c r="D47">
        <v>1.2210353165395516</v>
      </c>
      <c r="E47">
        <v>1.0389375468937179</v>
      </c>
      <c r="F47">
        <v>1.0440576105931632E-2</v>
      </c>
      <c r="G47">
        <v>0.38178962994799354</v>
      </c>
      <c r="J47" s="3"/>
    </row>
    <row r="48" spans="1:15" x14ac:dyDescent="0.35">
      <c r="A48" s="1">
        <v>1984.8333333345799</v>
      </c>
      <c r="B48">
        <v>576</v>
      </c>
      <c r="C48">
        <v>274.39548169702539</v>
      </c>
      <c r="D48">
        <v>1.9370737482662617</v>
      </c>
      <c r="E48">
        <v>1.0476143025626603</v>
      </c>
      <c r="F48">
        <v>1.9226306484159794E-2</v>
      </c>
      <c r="G48">
        <v>0.70306507642656446</v>
      </c>
      <c r="J48" s="3"/>
    </row>
    <row r="49" spans="1:10" x14ac:dyDescent="0.35">
      <c r="A49" s="1">
        <v>1984.91666666791</v>
      </c>
      <c r="B49">
        <v>629</v>
      </c>
      <c r="C49">
        <v>327.02564694658577</v>
      </c>
      <c r="D49">
        <v>2.3086123422741833</v>
      </c>
      <c r="E49">
        <v>1.0562932305523753</v>
      </c>
      <c r="F49">
        <v>2.8014209183161443E-2</v>
      </c>
      <c r="G49">
        <v>1.0244199600488164</v>
      </c>
      <c r="J49" s="3"/>
    </row>
    <row r="50" spans="1:10" x14ac:dyDescent="0.35">
      <c r="A50" s="1">
        <v>1985.0000000012401</v>
      </c>
      <c r="B50">
        <v>435.8</v>
      </c>
      <c r="C50">
        <v>133.45581219614434</v>
      </c>
      <c r="D50">
        <v>0.94212101729918774</v>
      </c>
      <c r="E50">
        <v>1.048966069856794</v>
      </c>
      <c r="F50">
        <v>2.0796023196866242E-2</v>
      </c>
      <c r="G50">
        <v>0.760466273140883</v>
      </c>
      <c r="J50" s="3"/>
    </row>
    <row r="51" spans="1:10" x14ac:dyDescent="0.35">
      <c r="A51" s="1">
        <v>1985.0833333345699</v>
      </c>
      <c r="B51">
        <v>227.1</v>
      </c>
      <c r="C51">
        <v>-75.614022554295303</v>
      </c>
      <c r="D51">
        <v>-0.53379136268893468</v>
      </c>
      <c r="E51">
        <v>1.0205702255072031</v>
      </c>
      <c r="F51">
        <v>-7.4908464434384481E-3</v>
      </c>
      <c r="G51">
        <v>-0.27392429906363247</v>
      </c>
      <c r="J51" s="3"/>
    </row>
    <row r="52" spans="1:10" x14ac:dyDescent="0.35">
      <c r="A52" s="1">
        <v>1985.1666666679</v>
      </c>
      <c r="B52">
        <v>142.1</v>
      </c>
      <c r="C52">
        <v>-160.98385730473493</v>
      </c>
      <c r="D52">
        <v>-1.1364531294431608</v>
      </c>
      <c r="E52">
        <v>0.99321870123268829</v>
      </c>
      <c r="F52">
        <v>-3.4733396008667095E-2</v>
      </c>
      <c r="G52">
        <v>-1.2701263105062532</v>
      </c>
      <c r="J52" s="3"/>
    </row>
    <row r="53" spans="1:10" x14ac:dyDescent="0.35">
      <c r="A53" s="1">
        <v>1985.2500000012301</v>
      </c>
      <c r="B53">
        <v>165.8</v>
      </c>
      <c r="C53">
        <v>-137.65369205517635</v>
      </c>
      <c r="D53">
        <v>-0.97175562652460667</v>
      </c>
      <c r="E53">
        <v>0.98855473245534653</v>
      </c>
      <c r="F53">
        <v>-3.928839007672269E-2</v>
      </c>
      <c r="G53">
        <v>-1.4366927415167314</v>
      </c>
      <c r="J53" s="3"/>
    </row>
    <row r="54" spans="1:10" x14ac:dyDescent="0.35">
      <c r="A54" s="1">
        <v>1985.3333333345599</v>
      </c>
      <c r="B54">
        <v>227.4</v>
      </c>
      <c r="C54">
        <v>-76.423526805615978</v>
      </c>
      <c r="D54">
        <v>-0.53950599554165279</v>
      </c>
      <c r="E54">
        <v>0.99219956244151952</v>
      </c>
      <c r="F54">
        <v>-3.5534585381263528E-2</v>
      </c>
      <c r="G54">
        <v>-1.2994240993426456</v>
      </c>
      <c r="J54" s="3"/>
    </row>
    <row r="55" spans="1:10" x14ac:dyDescent="0.35">
      <c r="A55" s="1">
        <v>1985.41666666789</v>
      </c>
      <c r="B55">
        <v>280.2</v>
      </c>
      <c r="C55">
        <v>-23.993361556055618</v>
      </c>
      <c r="D55">
        <v>-0.16937928611454606</v>
      </c>
      <c r="E55">
        <v>0.99361370473489663</v>
      </c>
      <c r="F55">
        <v>-3.4011468378600251E-2</v>
      </c>
      <c r="G55">
        <v>-1.2437269547680321</v>
      </c>
      <c r="J55" s="3"/>
    </row>
    <row r="56" spans="1:10" x14ac:dyDescent="0.35">
      <c r="A56" s="1">
        <v>1985.5000000012201</v>
      </c>
      <c r="B56">
        <v>214.8</v>
      </c>
      <c r="C56">
        <v>-89.763196306497036</v>
      </c>
      <c r="D56">
        <v>-0.63367636394894367</v>
      </c>
      <c r="E56">
        <v>1.0003437078572444</v>
      </c>
      <c r="F56">
        <v>-2.7172490546966355E-2</v>
      </c>
      <c r="G56">
        <v>-0.99364010236927425</v>
      </c>
      <c r="J56" s="3"/>
    </row>
    <row r="57" spans="1:10" x14ac:dyDescent="0.35">
      <c r="A57" s="1">
        <v>1985.5833333345499</v>
      </c>
      <c r="B57">
        <v>265.8</v>
      </c>
      <c r="C57">
        <v>-39.133031056936659</v>
      </c>
      <c r="D57">
        <v>-0.27625661574916921</v>
      </c>
      <c r="E57">
        <v>1.0104591989005809</v>
      </c>
      <c r="F57">
        <v>-1.6948024794343652E-2</v>
      </c>
      <c r="G57">
        <v>-0.61975316773047373</v>
      </c>
      <c r="J57" s="3"/>
    </row>
    <row r="58" spans="1:10" x14ac:dyDescent="0.35">
      <c r="A58" s="1">
        <v>1985.66666666788</v>
      </c>
      <c r="B58">
        <v>345.3</v>
      </c>
      <c r="C58">
        <v>39.997134192623719</v>
      </c>
      <c r="D58">
        <v>0.28235668521670093</v>
      </c>
      <c r="E58">
        <v>1.0264659237103024</v>
      </c>
      <c r="F58">
        <v>-8.3232527533594336E-4</v>
      </c>
      <c r="G58">
        <v>-3.0436362480656082E-2</v>
      </c>
      <c r="J58" s="3"/>
    </row>
    <row r="59" spans="1:10" x14ac:dyDescent="0.35">
      <c r="A59" s="1">
        <v>1985.7500000012101</v>
      </c>
      <c r="B59">
        <v>406.3</v>
      </c>
      <c r="C59">
        <v>100.62729944218228</v>
      </c>
      <c r="D59">
        <v>0.71037066245719793</v>
      </c>
      <c r="E59">
        <v>1.0426728091275568</v>
      </c>
      <c r="F59">
        <v>1.5483534851204572E-2</v>
      </c>
      <c r="G59">
        <v>0.56619988984801595</v>
      </c>
      <c r="J59" s="3"/>
    </row>
    <row r="60" spans="1:10" x14ac:dyDescent="0.35">
      <c r="A60" s="1">
        <v>1985.8333333345399</v>
      </c>
      <c r="B60">
        <v>459.5</v>
      </c>
      <c r="C60">
        <v>153.45746469174264</v>
      </c>
      <c r="D60">
        <v>1.083321141045934</v>
      </c>
      <c r="E60">
        <v>1.0451277435999744</v>
      </c>
      <c r="F60">
        <v>1.8047444032908366E-2</v>
      </c>
      <c r="G60">
        <v>0.65995658754086228</v>
      </c>
      <c r="J60" s="3"/>
    </row>
    <row r="61" spans="1:10" x14ac:dyDescent="0.35">
      <c r="A61" s="1">
        <v>1985.91666666787</v>
      </c>
      <c r="B61">
        <v>478.3</v>
      </c>
      <c r="C61">
        <v>171.88762994130303</v>
      </c>
      <c r="D61">
        <v>1.2134274717345408</v>
      </c>
      <c r="E61">
        <v>1.0571649813962316</v>
      </c>
      <c r="F61">
        <v>3.0193656538451741E-2</v>
      </c>
      <c r="G61">
        <v>1.1041177076467392</v>
      </c>
      <c r="J61" s="3"/>
    </row>
    <row r="62" spans="1:10" x14ac:dyDescent="0.35">
      <c r="A62" s="1">
        <v>1986.0000000012001</v>
      </c>
      <c r="B62">
        <v>307.5</v>
      </c>
      <c r="C62">
        <v>0.71779519086157961</v>
      </c>
      <c r="D62">
        <v>5.0672198107924483E-3</v>
      </c>
      <c r="E62">
        <v>1.0528413144123234</v>
      </c>
      <c r="F62">
        <v>2.5978964263829729E-2</v>
      </c>
      <c r="G62">
        <v>0.94999538838521291</v>
      </c>
      <c r="J62" s="3"/>
    </row>
    <row r="63" spans="1:10" x14ac:dyDescent="0.35">
      <c r="A63" s="1">
        <v>1986.0833333345299</v>
      </c>
      <c r="B63">
        <v>181.2</v>
      </c>
      <c r="C63">
        <v>-125.95203955957805</v>
      </c>
      <c r="D63">
        <v>-0.88914871288167074</v>
      </c>
      <c r="E63">
        <v>1.0253720044746977</v>
      </c>
      <c r="F63">
        <v>-1.3813709645098537E-3</v>
      </c>
      <c r="G63">
        <v>-5.0513793875956503E-2</v>
      </c>
      <c r="J63" s="3"/>
    </row>
    <row r="64" spans="1:10" x14ac:dyDescent="0.35">
      <c r="A64" s="1">
        <v>1986.16666666786</v>
      </c>
      <c r="B64">
        <v>192.4</v>
      </c>
      <c r="C64">
        <v>-115.12187431001766</v>
      </c>
      <c r="D64">
        <v>-0.81269399626402283</v>
      </c>
      <c r="E64">
        <v>0.99725659298403602</v>
      </c>
      <c r="F64">
        <v>-2.9387807745885342E-2</v>
      </c>
      <c r="G64">
        <v>-1.0746495337465538</v>
      </c>
      <c r="J64" s="3"/>
    </row>
    <row r="65" spans="1:10" x14ac:dyDescent="0.35">
      <c r="A65" s="1">
        <v>1986.2500000011901</v>
      </c>
      <c r="B65">
        <v>233.3</v>
      </c>
      <c r="C65">
        <v>-74.591709060459095</v>
      </c>
      <c r="D65">
        <v>-0.52657441939540395</v>
      </c>
      <c r="E65">
        <v>0.99107430355667703</v>
      </c>
      <c r="F65">
        <v>-3.5461122463957717E-2</v>
      </c>
      <c r="G65">
        <v>-1.2967377169315109</v>
      </c>
      <c r="J65" s="3"/>
    </row>
    <row r="66" spans="1:10" x14ac:dyDescent="0.35">
      <c r="A66" s="1">
        <v>1986.3333333345199</v>
      </c>
      <c r="B66">
        <v>326.8</v>
      </c>
      <c r="C66">
        <v>18.538456189101282</v>
      </c>
      <c r="D66">
        <v>0.13087080222749573</v>
      </c>
      <c r="E66">
        <v>0.99705410494105751</v>
      </c>
      <c r="F66">
        <v>-2.9372346370291513E-2</v>
      </c>
      <c r="G66">
        <v>-1.0740841441735491</v>
      </c>
      <c r="J66" s="3"/>
    </row>
    <row r="67" spans="1:10" x14ac:dyDescent="0.35">
      <c r="A67" s="1">
        <v>1986.41666666785</v>
      </c>
      <c r="B67">
        <v>386.4</v>
      </c>
      <c r="C67">
        <v>77.768621438661626</v>
      </c>
      <c r="D67">
        <v>0.54900158740230232</v>
      </c>
      <c r="E67">
        <v>1.0056671527553864</v>
      </c>
      <c r="F67">
        <v>-2.0650323846675978E-2</v>
      </c>
      <c r="G67">
        <v>-0.7551383582415373</v>
      </c>
      <c r="J67" s="3"/>
    </row>
    <row r="68" spans="1:10" x14ac:dyDescent="0.35">
      <c r="A68" s="1">
        <v>1986.5000000011801</v>
      </c>
      <c r="B68">
        <v>389.3</v>
      </c>
      <c r="C68">
        <v>80.298786688220218</v>
      </c>
      <c r="D68">
        <v>0.56686309391612721</v>
      </c>
      <c r="E68">
        <v>1.0171290118303056</v>
      </c>
      <c r="F68">
        <v>-9.0794900624706631E-3</v>
      </c>
      <c r="G68">
        <v>-0.3320176124283023</v>
      </c>
      <c r="J68" s="3"/>
    </row>
    <row r="69" spans="1:10" x14ac:dyDescent="0.35">
      <c r="A69" s="1">
        <v>1986.5833333345099</v>
      </c>
      <c r="B69">
        <v>270.3</v>
      </c>
      <c r="C69">
        <v>-39.071048062219404</v>
      </c>
      <c r="D69">
        <v>-0.27581905157659914</v>
      </c>
      <c r="E69">
        <v>1.0254954893367214</v>
      </c>
      <c r="F69">
        <v>-6.0403784676910099E-4</v>
      </c>
      <c r="G69">
        <v>-2.208837746622767E-2</v>
      </c>
      <c r="J69" s="3"/>
    </row>
    <row r="70" spans="1:10" x14ac:dyDescent="0.35">
      <c r="A70" s="1">
        <v>1986.66666666784</v>
      </c>
      <c r="B70">
        <v>245.5</v>
      </c>
      <c r="C70">
        <v>-64.240882812659038</v>
      </c>
      <c r="D70">
        <v>-0.45350355950559867</v>
      </c>
      <c r="E70">
        <v>1.0296502141822335</v>
      </c>
      <c r="F70">
        <v>3.6596617080295601E-3</v>
      </c>
      <c r="G70">
        <v>0.13382603364670237</v>
      </c>
    </row>
    <row r="71" spans="1:10" x14ac:dyDescent="0.35">
      <c r="A71" s="1">
        <v>1986.7500000011701</v>
      </c>
      <c r="B71">
        <v>337.8</v>
      </c>
      <c r="C71">
        <v>27.689282436899532</v>
      </c>
      <c r="D71">
        <v>0.19547035463239998</v>
      </c>
      <c r="E71">
        <v>1.0303835830364754</v>
      </c>
      <c r="F71">
        <v>4.5020052715576409E-3</v>
      </c>
      <c r="G71">
        <v>0.16462874358775251</v>
      </c>
    </row>
    <row r="72" spans="1:10" x14ac:dyDescent="0.35">
      <c r="A72" s="1">
        <v>1986.8333333344999</v>
      </c>
      <c r="B72">
        <v>460.5</v>
      </c>
      <c r="C72">
        <v>150.0194476864599</v>
      </c>
      <c r="D72">
        <v>1.0590507250542467</v>
      </c>
      <c r="E72">
        <v>1.0391711524402392</v>
      </c>
      <c r="F72">
        <v>1.3398549384607605E-2</v>
      </c>
      <c r="G72">
        <v>0.48995641231742471</v>
      </c>
    </row>
    <row r="73" spans="1:10" x14ac:dyDescent="0.35">
      <c r="A73" s="1">
        <v>1986.91666666783</v>
      </c>
      <c r="B73">
        <v>476.3</v>
      </c>
      <c r="C73">
        <v>165.44961293601847</v>
      </c>
      <c r="D73">
        <v>1.16797878703062</v>
      </c>
      <c r="E73">
        <v>1.0446259010152783</v>
      </c>
      <c r="F73">
        <v>1.8962272668932911E-2</v>
      </c>
      <c r="G73">
        <v>0.6934099221911616</v>
      </c>
    </row>
    <row r="74" spans="1:10" x14ac:dyDescent="0.35">
      <c r="A74" s="1">
        <v>1987.0000000011601</v>
      </c>
      <c r="B74">
        <v>254.4</v>
      </c>
      <c r="C74">
        <v>-56.82022181442116</v>
      </c>
      <c r="D74">
        <v>-0.40111797529127302</v>
      </c>
      <c r="E74">
        <v>1.0366234890565553</v>
      </c>
      <c r="F74">
        <v>1.1068835419496104E-2</v>
      </c>
      <c r="G74">
        <v>0.40476373486361156</v>
      </c>
    </row>
    <row r="75" spans="1:10" x14ac:dyDescent="0.35">
      <c r="A75" s="1">
        <v>1987.0833333344899</v>
      </c>
      <c r="B75">
        <v>105.7</v>
      </c>
      <c r="C75">
        <v>-205.8900565648608</v>
      </c>
      <c r="D75">
        <v>-1.4534649810349836</v>
      </c>
      <c r="E75">
        <v>1.0151255791414517</v>
      </c>
      <c r="F75">
        <v>-1.0320099786321313E-2</v>
      </c>
      <c r="G75">
        <v>-0.377384067552339</v>
      </c>
    </row>
    <row r="76" spans="1:10" x14ac:dyDescent="0.35">
      <c r="A76" s="1">
        <v>1987.16666666782</v>
      </c>
      <c r="B76">
        <v>79</v>
      </c>
      <c r="C76">
        <v>-232.95989131530223</v>
      </c>
      <c r="D76">
        <v>-1.6445623924817354</v>
      </c>
      <c r="E76">
        <v>0.99025380403565821</v>
      </c>
      <c r="F76">
        <v>-3.5082900182828669E-2</v>
      </c>
      <c r="G76">
        <v>-1.2829069337175165</v>
      </c>
    </row>
    <row r="77" spans="1:10" x14ac:dyDescent="0.35">
      <c r="A77" s="1">
        <v>1987.2500000011501</v>
      </c>
      <c r="B77">
        <v>118.8</v>
      </c>
      <c r="C77">
        <v>-193.52972606574184</v>
      </c>
      <c r="D77">
        <v>-1.3662081808075843</v>
      </c>
      <c r="E77">
        <v>0.98585379456724653</v>
      </c>
      <c r="F77">
        <v>-3.9373934941954181E-2</v>
      </c>
      <c r="G77">
        <v>-1.4398209350291686</v>
      </c>
    </row>
    <row r="78" spans="1:10" x14ac:dyDescent="0.35">
      <c r="A78" s="1">
        <v>1987.3333333344799</v>
      </c>
      <c r="B78">
        <v>247.8</v>
      </c>
      <c r="C78">
        <v>-64.899560816181463</v>
      </c>
      <c r="D78">
        <v>-0.4581534460900743</v>
      </c>
      <c r="E78">
        <v>0.98976789201845883</v>
      </c>
      <c r="F78">
        <v>-3.5350862781455716E-2</v>
      </c>
      <c r="G78">
        <v>-1.292705755193623</v>
      </c>
    </row>
    <row r="79" spans="1:10" x14ac:dyDescent="0.35">
      <c r="A79" s="1">
        <v>1987.41666666781</v>
      </c>
      <c r="B79">
        <v>321.3</v>
      </c>
      <c r="C79">
        <v>8.2306044333770956</v>
      </c>
      <c r="D79">
        <v>5.810331745134182E-2</v>
      </c>
      <c r="E79">
        <v>0.99206525894840913</v>
      </c>
      <c r="F79">
        <v>-3.2944521142219241E-2</v>
      </c>
      <c r="G79">
        <v>-1.2047109669126757</v>
      </c>
    </row>
    <row r="80" spans="1:10" x14ac:dyDescent="0.35">
      <c r="A80" s="1">
        <v>1987.5000000011401</v>
      </c>
      <c r="B80">
        <v>279.7</v>
      </c>
      <c r="C80">
        <v>-33.73923031706255</v>
      </c>
      <c r="D80">
        <v>-0.23817949526609317</v>
      </c>
      <c r="E80">
        <v>1.0031770438788772</v>
      </c>
      <c r="F80">
        <v>-2.1723761502465022E-2</v>
      </c>
      <c r="G80">
        <v>-0.79439168691016482</v>
      </c>
    </row>
    <row r="81" spans="1:7" x14ac:dyDescent="0.35">
      <c r="A81" s="1">
        <v>1987.5833333344699</v>
      </c>
      <c r="B81">
        <v>350.9</v>
      </c>
      <c r="C81">
        <v>37.090934932497817</v>
      </c>
      <c r="D81">
        <v>0.26184059559596662</v>
      </c>
      <c r="E81">
        <v>1.0133783891533641</v>
      </c>
      <c r="F81">
        <v>-1.1413441518691947E-2</v>
      </c>
      <c r="G81">
        <v>-0.41736524590621765</v>
      </c>
    </row>
    <row r="82" spans="1:7" x14ac:dyDescent="0.35">
      <c r="A82" s="1">
        <v>1987.6666666678</v>
      </c>
      <c r="B82">
        <v>385.4</v>
      </c>
      <c r="C82">
        <v>71.221100182056375</v>
      </c>
      <c r="D82">
        <v>0.50277986587851486</v>
      </c>
      <c r="E82">
        <v>1.0271699279033442</v>
      </c>
      <c r="F82">
        <v>2.4870719405742925E-3</v>
      </c>
      <c r="G82">
        <v>9.094692344671812E-2</v>
      </c>
    </row>
    <row r="83" spans="1:7" x14ac:dyDescent="0.35">
      <c r="A83" s="1">
        <v>1987.75000000113</v>
      </c>
      <c r="B83">
        <v>456.9</v>
      </c>
      <c r="C83">
        <v>142.35126543161675</v>
      </c>
      <c r="D83">
        <v>1.0049177836117968</v>
      </c>
      <c r="E83">
        <v>1.0430244939314395</v>
      </c>
      <c r="F83">
        <v>1.8450612677956224E-2</v>
      </c>
      <c r="G83">
        <v>0.67469960614804536</v>
      </c>
    </row>
    <row r="84" spans="1:7" x14ac:dyDescent="0.35">
      <c r="A84" s="1">
        <v>1987.8333333344599</v>
      </c>
      <c r="B84">
        <v>547.29999999999995</v>
      </c>
      <c r="C84">
        <v>232.38143068117711</v>
      </c>
      <c r="D84">
        <v>1.6404787942320682</v>
      </c>
      <c r="E84">
        <v>1.0503281459911926</v>
      </c>
      <c r="F84">
        <v>2.586323944699509E-2</v>
      </c>
      <c r="G84">
        <v>0.94576357832542168</v>
      </c>
    </row>
    <row r="85" spans="1:7" x14ac:dyDescent="0.35">
      <c r="A85" s="1">
        <v>1987.91666666779</v>
      </c>
      <c r="B85">
        <v>603.29999999999995</v>
      </c>
      <c r="C85">
        <v>288.01159593073567</v>
      </c>
      <c r="D85">
        <v>2.0331956569521976</v>
      </c>
      <c r="E85">
        <v>1.0618747083986428</v>
      </c>
      <c r="F85">
        <v>3.7518776563731482E-2</v>
      </c>
      <c r="G85">
        <v>1.3719817445926898</v>
      </c>
    </row>
    <row r="86" spans="1:7" x14ac:dyDescent="0.35">
      <c r="A86" s="1">
        <v>1988.00000000112</v>
      </c>
      <c r="B86">
        <v>438.4</v>
      </c>
      <c r="C86">
        <v>122.74176118029607</v>
      </c>
      <c r="D86">
        <v>0.86648600016249622</v>
      </c>
      <c r="E86">
        <v>1.0557346985637257</v>
      </c>
      <c r="F86">
        <v>3.1487741438100958E-2</v>
      </c>
      <c r="G86">
        <v>1.1514396360485331</v>
      </c>
    </row>
    <row r="87" spans="1:7" x14ac:dyDescent="0.35">
      <c r="A87" s="1">
        <v>1988.0833333344499</v>
      </c>
      <c r="B87">
        <v>192.3</v>
      </c>
      <c r="C87">
        <v>-123.72807357014352</v>
      </c>
      <c r="D87">
        <v>-0.87344879643797613</v>
      </c>
      <c r="E87">
        <v>1.0202605081873253</v>
      </c>
      <c r="F87">
        <v>-3.8774742290137443E-3</v>
      </c>
      <c r="G87">
        <v>-0.1417909736022292</v>
      </c>
    </row>
    <row r="88" spans="1:7" x14ac:dyDescent="0.35">
      <c r="A88" s="1">
        <v>1988.16666666778</v>
      </c>
      <c r="B88">
        <v>123.6</v>
      </c>
      <c r="C88">
        <v>-192.79790832058498</v>
      </c>
      <c r="D88">
        <v>-1.3610419698558167</v>
      </c>
      <c r="E88">
        <v>0.99292787250045744</v>
      </c>
      <c r="F88">
        <v>-3.1101135206594965E-2</v>
      </c>
      <c r="G88">
        <v>-1.1373022696269475</v>
      </c>
    </row>
    <row r="89" spans="1:7" x14ac:dyDescent="0.35">
      <c r="A89" s="1">
        <v>1988.25000000111</v>
      </c>
      <c r="B89">
        <v>175</v>
      </c>
      <c r="C89">
        <v>-141.7677430710246</v>
      </c>
      <c r="D89">
        <v>-1.0007984524944127</v>
      </c>
      <c r="E89">
        <v>0.99112154731294599</v>
      </c>
      <c r="F89">
        <v>-3.2798485684820244E-2</v>
      </c>
      <c r="G89">
        <v>-1.1993707612885842</v>
      </c>
    </row>
    <row r="90" spans="1:7" x14ac:dyDescent="0.35">
      <c r="A90" s="1">
        <v>1988.3333333344401</v>
      </c>
      <c r="B90">
        <v>286.3</v>
      </c>
      <c r="C90">
        <v>-30.837577821466027</v>
      </c>
      <c r="D90">
        <v>-0.21769550317901695</v>
      </c>
      <c r="E90">
        <v>0.99595038431034311</v>
      </c>
      <c r="F90">
        <v>-2.7860673978136963E-2</v>
      </c>
      <c r="G90">
        <v>-1.0188055046284181</v>
      </c>
    </row>
    <row r="91" spans="1:7" x14ac:dyDescent="0.35">
      <c r="A91" s="1">
        <v>1988.41666666777</v>
      </c>
      <c r="B91">
        <v>347</v>
      </c>
      <c r="C91">
        <v>29.492587428094339</v>
      </c>
      <c r="D91">
        <v>0.2082006471902707</v>
      </c>
      <c r="E91">
        <v>1.0020638997179456</v>
      </c>
      <c r="F91">
        <v>-2.1638183861248272E-2</v>
      </c>
      <c r="G91">
        <v>-0.79126229484975896</v>
      </c>
    </row>
    <row r="92" spans="1:7" x14ac:dyDescent="0.35">
      <c r="A92" s="1">
        <v>1988.5000000011</v>
      </c>
      <c r="B92">
        <v>473.6</v>
      </c>
      <c r="C92">
        <v>155.72275267765474</v>
      </c>
      <c r="D92">
        <v>1.0993127669380045</v>
      </c>
      <c r="E92">
        <v>1.0093193438222299</v>
      </c>
      <c r="F92">
        <v>-1.4273765047677855E-2</v>
      </c>
      <c r="G92">
        <v>-0.52196118492175525</v>
      </c>
    </row>
    <row r="93" spans="1:7" x14ac:dyDescent="0.35">
      <c r="A93" s="1">
        <v>1988.5833333344301</v>
      </c>
      <c r="B93">
        <v>555.29999999999995</v>
      </c>
      <c r="C93">
        <v>237.05291792721323</v>
      </c>
      <c r="D93">
        <v>1.673456798292823</v>
      </c>
      <c r="E93">
        <v>1.0211307536210812</v>
      </c>
      <c r="F93">
        <v>-2.3533805395403729E-3</v>
      </c>
      <c r="G93">
        <v>-8.6058113671296579E-2</v>
      </c>
    </row>
    <row r="94" spans="1:7" x14ac:dyDescent="0.35">
      <c r="A94" s="1">
        <v>1988.66666666776</v>
      </c>
      <c r="B94">
        <v>623.9</v>
      </c>
      <c r="C94">
        <v>305.28308317677363</v>
      </c>
      <c r="D94">
        <v>2.1551223896042919</v>
      </c>
      <c r="E94">
        <v>1.0410950189167185</v>
      </c>
      <c r="F94">
        <v>1.7719859465383125E-2</v>
      </c>
      <c r="G94">
        <v>0.64797751765590794</v>
      </c>
    </row>
    <row r="95" spans="1:7" x14ac:dyDescent="0.35">
      <c r="A95" s="1">
        <v>1988.7500000011</v>
      </c>
      <c r="B95">
        <v>683.7</v>
      </c>
      <c r="C95">
        <v>364.7132484262886</v>
      </c>
      <c r="D95">
        <v>2.5746650593595928</v>
      </c>
      <c r="E95">
        <v>1.064234947716878</v>
      </c>
      <c r="F95">
        <v>4.0968762974842088E-2</v>
      </c>
      <c r="G95">
        <v>1.4981403992358222</v>
      </c>
    </row>
    <row r="96" spans="1:7" x14ac:dyDescent="0.35">
      <c r="A96" s="1">
        <v>1988.8333333344301</v>
      </c>
      <c r="B96">
        <v>677.1</v>
      </c>
      <c r="C96">
        <v>357.74341367584896</v>
      </c>
      <c r="D96">
        <v>2.5254620482847319</v>
      </c>
      <c r="E96">
        <v>1.0909702872506679</v>
      </c>
      <c r="F96">
        <v>6.7813077217918183E-2</v>
      </c>
      <c r="G96">
        <v>2.479779793181649</v>
      </c>
    </row>
    <row r="97" spans="1:7" x14ac:dyDescent="0.35">
      <c r="A97" s="1">
        <v>1988.91666666776</v>
      </c>
      <c r="B97">
        <v>670</v>
      </c>
      <c r="C97">
        <v>350.27357892540931</v>
      </c>
      <c r="D97">
        <v>2.4727293257578338</v>
      </c>
      <c r="E97">
        <v>1.1158343858335098</v>
      </c>
      <c r="F97">
        <v>9.2786150510045795E-2</v>
      </c>
      <c r="G97">
        <v>3.3929918912620405</v>
      </c>
    </row>
    <row r="98" spans="1:7" x14ac:dyDescent="0.35">
      <c r="A98" s="1">
        <v>1989.00000000109</v>
      </c>
      <c r="B98">
        <v>546.9</v>
      </c>
      <c r="C98">
        <v>226.80374417496785</v>
      </c>
      <c r="D98">
        <v>1.6011035463583927</v>
      </c>
      <c r="E98">
        <v>1.11035764613026</v>
      </c>
      <c r="F98">
        <v>8.7418385516082608E-2</v>
      </c>
      <c r="G98">
        <v>3.1967041586790885</v>
      </c>
    </row>
    <row r="99" spans="1:7" x14ac:dyDescent="0.35">
      <c r="A99" s="1">
        <v>1989.0833333344201</v>
      </c>
      <c r="B99">
        <v>374</v>
      </c>
      <c r="C99">
        <v>53.533909424528247</v>
      </c>
      <c r="D99">
        <v>0.37791850633610308</v>
      </c>
      <c r="E99">
        <v>1.0607709966955345</v>
      </c>
      <c r="F99">
        <v>3.7940710790643317E-2</v>
      </c>
      <c r="G99">
        <v>1.3874109805582748</v>
      </c>
    </row>
    <row r="100" spans="1:7" x14ac:dyDescent="0.35">
      <c r="A100" s="1">
        <v>1989.16666666775</v>
      </c>
      <c r="B100">
        <v>254.9</v>
      </c>
      <c r="C100">
        <v>-65.93592532591137</v>
      </c>
      <c r="D100">
        <v>-0.46546958144703054</v>
      </c>
      <c r="E100">
        <v>1.0146705905349678</v>
      </c>
      <c r="F100">
        <v>-8.0507206606372783E-3</v>
      </c>
      <c r="G100">
        <v>-0.29439770666422743</v>
      </c>
    </row>
    <row r="101" spans="1:7" x14ac:dyDescent="0.35">
      <c r="A101" s="1">
        <v>1989.25000000108</v>
      </c>
      <c r="B101">
        <v>219.7</v>
      </c>
      <c r="C101">
        <v>-101.50576007635283</v>
      </c>
      <c r="D101">
        <v>-0.71657208757840773</v>
      </c>
      <c r="E101">
        <v>0.99838791781502745</v>
      </c>
      <c r="F101">
        <v>-2.4224418671291437E-2</v>
      </c>
      <c r="G101">
        <v>-0.88583539321777516</v>
      </c>
    </row>
    <row r="102" spans="1:7" x14ac:dyDescent="0.35">
      <c r="A102" s="1">
        <v>1989.3333333344101</v>
      </c>
      <c r="B102">
        <v>237.3</v>
      </c>
      <c r="C102">
        <v>-84.275594826792428</v>
      </c>
      <c r="D102">
        <v>-0.59493706437468918</v>
      </c>
      <c r="E102">
        <v>1.0026834674558531</v>
      </c>
      <c r="F102">
        <v>-1.9819894321179587E-2</v>
      </c>
      <c r="G102">
        <v>-0.7247713192946118</v>
      </c>
    </row>
    <row r="103" spans="1:7" x14ac:dyDescent="0.35">
      <c r="A103" s="1">
        <v>1989.4166666677399</v>
      </c>
      <c r="B103">
        <v>313</v>
      </c>
      <c r="C103">
        <v>-8.945429577232062</v>
      </c>
      <c r="D103">
        <v>-6.3149570444298461E-2</v>
      </c>
      <c r="E103">
        <v>1.0065647180749866</v>
      </c>
      <c r="F103">
        <v>-1.5829668992759949E-2</v>
      </c>
      <c r="G103">
        <v>-0.57885727814500654</v>
      </c>
    </row>
    <row r="104" spans="1:7" x14ac:dyDescent="0.35">
      <c r="A104" s="1">
        <v>1989.50000000107</v>
      </c>
      <c r="B104">
        <v>318.2</v>
      </c>
      <c r="C104">
        <v>-4.1152643276735148</v>
      </c>
      <c r="D104">
        <v>-2.9051391251104803E-2</v>
      </c>
      <c r="E104">
        <v>1.0091846926445431</v>
      </c>
      <c r="F104">
        <v>-1.3100719713917242E-2</v>
      </c>
      <c r="G104">
        <v>-0.47906541563233285</v>
      </c>
    </row>
    <row r="105" spans="1:7" x14ac:dyDescent="0.35">
      <c r="A105" s="1">
        <v>1989.5833333344001</v>
      </c>
      <c r="B105">
        <v>305.7</v>
      </c>
      <c r="C105">
        <v>-16.985099078113137</v>
      </c>
      <c r="D105">
        <v>-0.11990499745999979</v>
      </c>
      <c r="E105">
        <v>1.0260342715299779</v>
      </c>
      <c r="F105">
        <v>3.8578338808037405E-3</v>
      </c>
      <c r="G105">
        <v>0.14107276790176534</v>
      </c>
    </row>
    <row r="106" spans="1:7" x14ac:dyDescent="0.35">
      <c r="A106" s="1">
        <v>1989.6666666677299</v>
      </c>
      <c r="B106">
        <v>356.6</v>
      </c>
      <c r="C106">
        <v>33.545066171447274</v>
      </c>
      <c r="D106">
        <v>0.23680880844936755</v>
      </c>
      <c r="E106">
        <v>1.0425552674387946</v>
      </c>
      <c r="F106">
        <v>2.0487804498906526E-2</v>
      </c>
      <c r="G106">
        <v>0.74919537185697382</v>
      </c>
    </row>
    <row r="107" spans="1:7" x14ac:dyDescent="0.35">
      <c r="A107" s="1">
        <v>1989.75000000106</v>
      </c>
      <c r="B107">
        <v>453.6</v>
      </c>
      <c r="C107">
        <v>130.17523142100583</v>
      </c>
      <c r="D107">
        <v>0.91896201023651169</v>
      </c>
      <c r="E107">
        <v>1.050779740044135</v>
      </c>
      <c r="F107">
        <v>2.8821251813533122E-2</v>
      </c>
      <c r="G107">
        <v>1.0539317900547118</v>
      </c>
    </row>
    <row r="108" spans="1:7" x14ac:dyDescent="0.35">
      <c r="A108" s="1">
        <v>1989.8333333343901</v>
      </c>
      <c r="B108">
        <v>529.4</v>
      </c>
      <c r="C108">
        <v>205.60539667056617</v>
      </c>
      <c r="D108">
        <v>1.4514554464573095</v>
      </c>
      <c r="E108">
        <v>1.0645111067514599</v>
      </c>
      <c r="F108">
        <v>4.2661593230144179E-2</v>
      </c>
      <c r="G108">
        <v>1.5600435959731542</v>
      </c>
    </row>
    <row r="109" spans="1:7" x14ac:dyDescent="0.35">
      <c r="A109" s="1">
        <v>1989.9166666677199</v>
      </c>
      <c r="B109">
        <v>522.4</v>
      </c>
      <c r="C109">
        <v>198.23556192012654</v>
      </c>
      <c r="D109">
        <v>1.3994286662208191</v>
      </c>
      <c r="E109">
        <v>1.0829906049720335</v>
      </c>
      <c r="F109">
        <v>6.1250066160003946E-2</v>
      </c>
      <c r="G109">
        <v>2.2397844578933803</v>
      </c>
    </row>
    <row r="110" spans="1:7" x14ac:dyDescent="0.35">
      <c r="A110" s="1">
        <v>1990.00000000105</v>
      </c>
      <c r="B110">
        <v>330.1</v>
      </c>
      <c r="C110">
        <v>5.5657271696851467</v>
      </c>
      <c r="D110">
        <v>3.9290821859490073E-2</v>
      </c>
      <c r="E110">
        <v>1.0697876319380384</v>
      </c>
      <c r="F110">
        <v>4.8156067835295024E-2</v>
      </c>
      <c r="G110">
        <v>1.7609648291479658</v>
      </c>
    </row>
    <row r="111" spans="1:7" x14ac:dyDescent="0.35">
      <c r="A111" s="1">
        <v>1990.0833333343801</v>
      </c>
      <c r="B111">
        <v>208.9</v>
      </c>
      <c r="C111">
        <v>-116.00410758075449</v>
      </c>
      <c r="D111">
        <v>-0.8189220540221982</v>
      </c>
      <c r="E111">
        <v>1.0283694972762156</v>
      </c>
      <c r="F111">
        <v>6.8469078827588792E-3</v>
      </c>
      <c r="G111">
        <v>0.25037683747751471</v>
      </c>
    </row>
    <row r="112" spans="1:7" x14ac:dyDescent="0.35">
      <c r="A112" s="1">
        <v>1990.1666666677099</v>
      </c>
      <c r="B112">
        <v>184.1</v>
      </c>
      <c r="C112">
        <v>-141.17394233119413</v>
      </c>
      <c r="D112">
        <v>-0.99660656195119768</v>
      </c>
      <c r="E112">
        <v>1.0067195735022505</v>
      </c>
      <c r="F112">
        <v>-1.4694041181920525E-2</v>
      </c>
      <c r="G112">
        <v>-0.53732978797013753</v>
      </c>
    </row>
    <row r="113" spans="1:7" x14ac:dyDescent="0.35">
      <c r="A113" s="1">
        <v>1990.25000000104</v>
      </c>
      <c r="B113">
        <v>204.3</v>
      </c>
      <c r="C113">
        <v>-121.34377708163555</v>
      </c>
      <c r="D113">
        <v>-0.8566170391969008</v>
      </c>
      <c r="E113">
        <v>1.0055265161149722</v>
      </c>
      <c r="F113">
        <v>-1.5778123859912618E-2</v>
      </c>
      <c r="G113">
        <v>-0.57697238242701798</v>
      </c>
    </row>
    <row r="114" spans="1:7" x14ac:dyDescent="0.35">
      <c r="A114" s="1">
        <v>1990.3333333343701</v>
      </c>
      <c r="B114">
        <v>306.89999999999998</v>
      </c>
      <c r="C114">
        <v>-19.113611832075208</v>
      </c>
      <c r="D114">
        <v>-0.13493106914693226</v>
      </c>
      <c r="E114">
        <v>1.0120193361488738</v>
      </c>
      <c r="F114">
        <v>-9.176329116724391E-3</v>
      </c>
      <c r="G114">
        <v>-0.33555881037685614</v>
      </c>
    </row>
    <row r="115" spans="1:7" x14ac:dyDescent="0.35">
      <c r="A115" s="1">
        <v>1990.4166666676999</v>
      </c>
      <c r="B115">
        <v>335.2</v>
      </c>
      <c r="C115">
        <v>8.8165534174851814</v>
      </c>
      <c r="D115">
        <v>6.2239779130373062E-2</v>
      </c>
      <c r="E115">
        <v>1.0152885388998178</v>
      </c>
      <c r="F115">
        <v>-5.7981516564946656E-3</v>
      </c>
      <c r="G115">
        <v>-0.21202605611561853</v>
      </c>
    </row>
    <row r="116" spans="1:7" x14ac:dyDescent="0.35">
      <c r="A116" s="1">
        <v>1990.50000000103</v>
      </c>
      <c r="B116">
        <v>325.10000000000002</v>
      </c>
      <c r="C116">
        <v>-1.6532813329562259</v>
      </c>
      <c r="D116">
        <v>-1.1671212108758024E-2</v>
      </c>
      <c r="E116">
        <v>1.0301902843167645</v>
      </c>
      <c r="F116">
        <v>9.2125684697386134E-3</v>
      </c>
      <c r="G116">
        <v>0.33688400632736842</v>
      </c>
    </row>
    <row r="117" spans="1:7" x14ac:dyDescent="0.35">
      <c r="A117" s="1">
        <v>1990.5833333343601</v>
      </c>
      <c r="B117">
        <v>294.8</v>
      </c>
      <c r="C117">
        <v>-32.32311608339586</v>
      </c>
      <c r="D117">
        <v>-0.228182546010162</v>
      </c>
      <c r="E117">
        <v>1.0484890215159164</v>
      </c>
      <c r="F117">
        <v>2.7620280378176654E-2</v>
      </c>
      <c r="G117">
        <v>1.0100148227120407</v>
      </c>
    </row>
    <row r="118" spans="1:7" x14ac:dyDescent="0.35">
      <c r="A118" s="1">
        <v>1990.6666666676899</v>
      </c>
      <c r="B118">
        <v>304.10000000000002</v>
      </c>
      <c r="C118">
        <v>-23.392950833835471</v>
      </c>
      <c r="D118">
        <v>-0.16514073291025383</v>
      </c>
      <c r="E118">
        <v>1.0644719091437662</v>
      </c>
      <c r="F118">
        <v>4.3712142715312208E-2</v>
      </c>
      <c r="G118">
        <v>1.5984599529935775</v>
      </c>
    </row>
    <row r="119" spans="1:7" x14ac:dyDescent="0.35">
      <c r="A119" s="1">
        <v>1990.75000000102</v>
      </c>
      <c r="B119">
        <v>365.6</v>
      </c>
      <c r="C119">
        <v>37.737214415723088</v>
      </c>
      <c r="D119">
        <v>0.2664029557822799</v>
      </c>
      <c r="E119">
        <v>1.069548317666082</v>
      </c>
      <c r="F119">
        <v>4.8897525946914655E-2</v>
      </c>
      <c r="G119">
        <v>1.7880783729969858</v>
      </c>
    </row>
    <row r="120" spans="1:7" x14ac:dyDescent="0.35">
      <c r="A120" s="1">
        <v>1990.8333333343501</v>
      </c>
      <c r="B120">
        <v>455.1</v>
      </c>
      <c r="C120">
        <v>126.86737966528347</v>
      </c>
      <c r="D120">
        <v>0.89561048578888536</v>
      </c>
      <c r="E120">
        <v>1.0624138995599013</v>
      </c>
      <c r="F120">
        <v>4.1872082550020062E-2</v>
      </c>
      <c r="G120">
        <v>1.5311728720450621</v>
      </c>
    </row>
    <row r="121" spans="1:7" x14ac:dyDescent="0.35">
      <c r="A121" s="1">
        <v>1990.9166666676799</v>
      </c>
      <c r="B121">
        <v>479.1</v>
      </c>
      <c r="C121">
        <v>150.49754491484384</v>
      </c>
      <c r="D121">
        <v>1.0624258155786743</v>
      </c>
      <c r="E121">
        <v>1.06775185770254</v>
      </c>
      <c r="F121">
        <v>4.7319015401944942E-2</v>
      </c>
      <c r="G121">
        <v>1.7303556045675097</v>
      </c>
    </row>
    <row r="122" spans="1:7" x14ac:dyDescent="0.35">
      <c r="A122" s="1">
        <v>1991.00000000101</v>
      </c>
      <c r="B122">
        <v>282.3</v>
      </c>
      <c r="C122">
        <v>-46.67228983559761</v>
      </c>
      <c r="D122">
        <v>-0.32947943185098577</v>
      </c>
      <c r="E122">
        <v>1.0525443032965336</v>
      </c>
      <c r="F122">
        <v>3.2220435705224704E-2</v>
      </c>
      <c r="G122">
        <v>1.1782327047711751</v>
      </c>
    </row>
    <row r="123" spans="1:7" x14ac:dyDescent="0.35">
      <c r="A123" s="1">
        <v>1991.0833333343401</v>
      </c>
      <c r="B123">
        <v>157.6</v>
      </c>
      <c r="C123">
        <v>-171.74212458603725</v>
      </c>
      <c r="D123">
        <v>-1.2124002878969313</v>
      </c>
      <c r="E123">
        <v>1.0218782707341354</v>
      </c>
      <c r="F123">
        <v>1.6633778521126796E-3</v>
      </c>
      <c r="G123">
        <v>6.0826185085790484E-2</v>
      </c>
    </row>
    <row r="124" spans="1:7" x14ac:dyDescent="0.35">
      <c r="A124" s="1">
        <v>1991.1666666676699</v>
      </c>
      <c r="B124">
        <v>157.69999999999999</v>
      </c>
      <c r="C124">
        <v>-172.01195933647688</v>
      </c>
      <c r="D124">
        <v>-1.2143051655144999</v>
      </c>
      <c r="E124">
        <v>1.0009854665319329</v>
      </c>
      <c r="F124">
        <v>-1.9120451640803671E-2</v>
      </c>
      <c r="G124">
        <v>-0.69919419027403518</v>
      </c>
    </row>
    <row r="125" spans="1:7" x14ac:dyDescent="0.35">
      <c r="A125" s="1">
        <v>1991.250000001</v>
      </c>
      <c r="B125">
        <v>171.9</v>
      </c>
      <c r="C125">
        <v>-158.1817940869183</v>
      </c>
      <c r="D125">
        <v>-1.1166721801846442</v>
      </c>
      <c r="E125">
        <v>0.99940962123908172</v>
      </c>
      <c r="F125">
        <v>-2.0587322224368654E-2</v>
      </c>
      <c r="G125">
        <v>-0.75283452310612065</v>
      </c>
    </row>
    <row r="126" spans="1:7" x14ac:dyDescent="0.35">
      <c r="A126" s="1">
        <v>1991.3333333343301</v>
      </c>
      <c r="B126">
        <v>232.1</v>
      </c>
      <c r="C126">
        <v>-98.351628837357936</v>
      </c>
      <c r="D126">
        <v>-0.69430574126739331</v>
      </c>
      <c r="E126">
        <v>1.008750460013873</v>
      </c>
      <c r="F126">
        <v>-1.113750874029118E-2</v>
      </c>
      <c r="G126">
        <v>-0.40727497193213086</v>
      </c>
    </row>
    <row r="127" spans="1:7" x14ac:dyDescent="0.35">
      <c r="A127" s="1">
        <v>1991.4166666676599</v>
      </c>
      <c r="B127">
        <v>268.8</v>
      </c>
      <c r="C127">
        <v>-62.021463587797541</v>
      </c>
      <c r="D127">
        <v>-0.43783574059587033</v>
      </c>
      <c r="E127">
        <v>1.0189729153550358</v>
      </c>
      <c r="F127">
        <v>-8.0607868984228226E-4</v>
      </c>
      <c r="G127">
        <v>-2.9476580753924498E-2</v>
      </c>
    </row>
    <row r="128" spans="1:7" x14ac:dyDescent="0.35">
      <c r="A128" s="1">
        <v>1991.50000000099</v>
      </c>
      <c r="B128">
        <v>267.10000000000002</v>
      </c>
      <c r="C128">
        <v>-64.091298338238971</v>
      </c>
      <c r="D128">
        <v>-0.45244757944078384</v>
      </c>
      <c r="E128">
        <v>1.024972424380391</v>
      </c>
      <c r="F128">
        <v>5.3024050447991744E-3</v>
      </c>
      <c r="G128">
        <v>0.19389765845756898</v>
      </c>
    </row>
    <row r="129" spans="1:7" x14ac:dyDescent="0.35">
      <c r="A129" s="1">
        <v>1991.5833333343201</v>
      </c>
      <c r="B129">
        <v>250.5</v>
      </c>
      <c r="C129">
        <v>-81.061133088680435</v>
      </c>
      <c r="D129">
        <v>-0.57224481955639328</v>
      </c>
      <c r="E129">
        <v>1.0286130449571018</v>
      </c>
      <c r="F129">
        <v>9.0520003307961172E-3</v>
      </c>
      <c r="G129">
        <v>0.3310123714935907</v>
      </c>
    </row>
    <row r="130" spans="1:7" x14ac:dyDescent="0.35">
      <c r="A130" s="1">
        <v>1991.6666666676499</v>
      </c>
      <c r="B130">
        <v>212.1</v>
      </c>
      <c r="C130">
        <v>-119.83096783911824</v>
      </c>
      <c r="D130">
        <v>-0.84593747898077998</v>
      </c>
      <c r="E130">
        <v>1.0328881594037067</v>
      </c>
      <c r="F130">
        <v>1.3436089486687175E-2</v>
      </c>
      <c r="G130">
        <v>0.49132917389070863</v>
      </c>
    </row>
    <row r="131" spans="1:7" x14ac:dyDescent="0.35">
      <c r="A131" s="1">
        <v>1991.75000000098</v>
      </c>
      <c r="B131">
        <v>290.89999999999998</v>
      </c>
      <c r="C131">
        <v>-41.400802589559703</v>
      </c>
      <c r="D131">
        <v>-0.29226577404777426</v>
      </c>
      <c r="E131">
        <v>1.0328938389274047</v>
      </c>
      <c r="F131">
        <v>1.3550743719671354E-2</v>
      </c>
      <c r="G131">
        <v>0.4955218349794136</v>
      </c>
    </row>
    <row r="132" spans="1:7" x14ac:dyDescent="0.35">
      <c r="A132" s="1">
        <v>1991.8333333343101</v>
      </c>
      <c r="B132">
        <v>311.39999999999998</v>
      </c>
      <c r="C132">
        <v>-21.270637340001144</v>
      </c>
      <c r="D132">
        <v>-0.15015842442225547</v>
      </c>
      <c r="E132">
        <v>1.034394921621629</v>
      </c>
      <c r="F132">
        <v>1.5160801123182299E-2</v>
      </c>
      <c r="G132">
        <v>0.55439820483148128</v>
      </c>
    </row>
    <row r="133" spans="1:7" x14ac:dyDescent="0.35">
      <c r="A133" s="1">
        <v>1991.9166666676399</v>
      </c>
      <c r="B133">
        <v>311.2</v>
      </c>
      <c r="C133">
        <v>-21.840472090440755</v>
      </c>
      <c r="D133">
        <v>-0.15418112891104588</v>
      </c>
      <c r="E133">
        <v>1.0383575612222586</v>
      </c>
      <c r="F133">
        <v>1.9232415433097616E-2</v>
      </c>
      <c r="G133">
        <v>0.70328846767726538</v>
      </c>
    </row>
    <row r="134" spans="1:7" x14ac:dyDescent="0.35">
      <c r="A134" s="1">
        <v>1992.00000000097</v>
      </c>
      <c r="B134">
        <v>238.2</v>
      </c>
      <c r="C134">
        <v>-95.210306840880378</v>
      </c>
      <c r="D134">
        <v>-0.67212982081638961</v>
      </c>
      <c r="E134">
        <v>1.0268108308827097</v>
      </c>
      <c r="F134">
        <v>7.7946598028348912E-3</v>
      </c>
      <c r="G134">
        <v>0.28503410649955258</v>
      </c>
    </row>
    <row r="135" spans="1:7" x14ac:dyDescent="0.35">
      <c r="A135" s="1">
        <v>1992.0833333343001</v>
      </c>
      <c r="B135">
        <v>140.1</v>
      </c>
      <c r="C135">
        <v>-193.68014159132181</v>
      </c>
      <c r="D135">
        <v>-1.367270027613992</v>
      </c>
      <c r="E135">
        <v>0.99592286998675639</v>
      </c>
      <c r="F135">
        <v>-2.2984326383831855E-2</v>
      </c>
      <c r="G135">
        <v>-0.84048785964042916</v>
      </c>
    </row>
    <row r="136" spans="1:7" x14ac:dyDescent="0.35">
      <c r="A136" s="1">
        <v>1992.1666666676299</v>
      </c>
      <c r="B136">
        <v>128.9</v>
      </c>
      <c r="C136">
        <v>-205.24997634176142</v>
      </c>
      <c r="D136">
        <v>-1.4489463840475911</v>
      </c>
      <c r="E136">
        <v>0.98669795432883145</v>
      </c>
      <c r="F136">
        <v>-3.2100267332471066E-2</v>
      </c>
      <c r="G136">
        <v>-1.173838403336148</v>
      </c>
    </row>
    <row r="137" spans="1:7" x14ac:dyDescent="0.35">
      <c r="A137" s="1">
        <v>1992.25000000096</v>
      </c>
      <c r="B137">
        <v>130.30000000000001</v>
      </c>
      <c r="C137">
        <v>-204.21981109220104</v>
      </c>
      <c r="D137">
        <v>-1.4416740118898641</v>
      </c>
      <c r="E137">
        <v>0.98509346905505046</v>
      </c>
      <c r="F137">
        <v>-3.359577789696544E-2</v>
      </c>
      <c r="G137">
        <v>-1.2285260392681587</v>
      </c>
    </row>
    <row r="138" spans="1:7" x14ac:dyDescent="0.35">
      <c r="A138" s="1">
        <v>1992.33333333429</v>
      </c>
      <c r="B138">
        <v>199.3</v>
      </c>
      <c r="C138">
        <v>-135.58964584264248</v>
      </c>
      <c r="D138">
        <v>-0.95718465141677878</v>
      </c>
      <c r="E138">
        <v>0.98845985399426062</v>
      </c>
      <c r="F138">
        <v>-3.0120418248469116E-2</v>
      </c>
      <c r="G138">
        <v>-1.101439539378386</v>
      </c>
    </row>
    <row r="139" spans="1:7" x14ac:dyDescent="0.35">
      <c r="A139" s="1">
        <v>1992.4166666676199</v>
      </c>
      <c r="B139">
        <v>263.10000000000002</v>
      </c>
      <c r="C139">
        <v>-72.159480593082094</v>
      </c>
      <c r="D139">
        <v>-0.5094042900448631</v>
      </c>
      <c r="E139">
        <v>0.99675352235444292</v>
      </c>
      <c r="F139">
        <v>-2.1717775179001086E-2</v>
      </c>
      <c r="G139">
        <v>-0.79417277981185386</v>
      </c>
    </row>
    <row r="140" spans="1:7" x14ac:dyDescent="0.35">
      <c r="A140" s="1">
        <v>1992.50000000095</v>
      </c>
      <c r="B140">
        <v>224.9</v>
      </c>
      <c r="C140">
        <v>-110.72931534352173</v>
      </c>
      <c r="D140">
        <v>-0.78168506488844791</v>
      </c>
      <c r="E140">
        <v>1.0074305377391419</v>
      </c>
      <c r="F140">
        <v>-1.0931785085015466E-2</v>
      </c>
      <c r="G140">
        <v>-0.39975209604651352</v>
      </c>
    </row>
    <row r="141" spans="1:7" x14ac:dyDescent="0.35">
      <c r="A141" s="1">
        <v>1992.58333333428</v>
      </c>
      <c r="B141">
        <v>272.89999999999998</v>
      </c>
      <c r="C141">
        <v>-63.099150093963203</v>
      </c>
      <c r="D141">
        <v>-0.44544358540090717</v>
      </c>
      <c r="E141">
        <v>1.0172132330163424</v>
      </c>
      <c r="F141">
        <v>-1.0401150985288599E-3</v>
      </c>
      <c r="G141">
        <v>-3.8034793726103744E-2</v>
      </c>
    </row>
    <row r="142" spans="1:7" x14ac:dyDescent="0.35">
      <c r="A142" s="1">
        <v>1992.6666666676099</v>
      </c>
      <c r="B142">
        <v>304.7</v>
      </c>
      <c r="C142">
        <v>-31.668984844402814</v>
      </c>
      <c r="D142">
        <v>-0.2235647569593445</v>
      </c>
      <c r="E142">
        <v>1.0208566506469388</v>
      </c>
      <c r="F142">
        <v>2.7122772413537E-3</v>
      </c>
      <c r="G142">
        <v>9.9182201612838736E-2</v>
      </c>
    </row>
    <row r="143" spans="1:7" x14ac:dyDescent="0.35">
      <c r="A143" s="1">
        <v>1992.75000000094</v>
      </c>
      <c r="B143">
        <v>385</v>
      </c>
      <c r="C143">
        <v>48.261180405157575</v>
      </c>
      <c r="D143">
        <v>0.3406960823297846</v>
      </c>
      <c r="E143">
        <v>1.0245827482738437</v>
      </c>
      <c r="F143">
        <v>6.5473495775447699E-3</v>
      </c>
      <c r="G143">
        <v>0.23942262830982616</v>
      </c>
    </row>
    <row r="144" spans="1:7" x14ac:dyDescent="0.35">
      <c r="A144" s="1">
        <v>1992.83333333427</v>
      </c>
      <c r="B144">
        <v>350.6</v>
      </c>
      <c r="C144">
        <v>13.491345654716156</v>
      </c>
      <c r="D144">
        <v>9.5241114521666559E-2</v>
      </c>
      <c r="E144">
        <v>1.0327961693919021</v>
      </c>
      <c r="F144">
        <v>1.486974540488939E-2</v>
      </c>
      <c r="G144">
        <v>0.54375491715713831</v>
      </c>
    </row>
    <row r="145" spans="1:7" x14ac:dyDescent="0.35">
      <c r="A145" s="1">
        <v>1992.9166666676001</v>
      </c>
      <c r="B145">
        <v>348.1</v>
      </c>
      <c r="C145">
        <v>10.621510904276533</v>
      </c>
      <c r="D145">
        <v>7.4981737353506939E-2</v>
      </c>
      <c r="E145">
        <v>1.0376559113982831</v>
      </c>
      <c r="F145">
        <v>1.983846212055651E-2</v>
      </c>
      <c r="G145">
        <v>0.72545030416871059</v>
      </c>
    </row>
    <row r="146" spans="1:7" x14ac:dyDescent="0.35">
      <c r="A146" s="1">
        <v>1993.00000000093</v>
      </c>
      <c r="B146">
        <v>252.6</v>
      </c>
      <c r="C146">
        <v>-85.248323846163117</v>
      </c>
      <c r="D146">
        <v>-0.60180396989349161</v>
      </c>
      <c r="E146">
        <v>1.0268603445518838</v>
      </c>
      <c r="F146">
        <v>9.151869983443417E-3</v>
      </c>
      <c r="G146">
        <v>0.33466439197027548</v>
      </c>
    </row>
    <row r="147" spans="1:7" x14ac:dyDescent="0.35">
      <c r="A147" s="1">
        <v>1993.08333333426</v>
      </c>
      <c r="B147">
        <v>169.5</v>
      </c>
      <c r="C147">
        <v>-168.71815859660455</v>
      </c>
      <c r="D147">
        <v>-1.1910528331299908</v>
      </c>
      <c r="E147">
        <v>1.0058710621104303</v>
      </c>
      <c r="F147">
        <v>-1.1728437748723897E-2</v>
      </c>
      <c r="G147">
        <v>-0.42888398710198272</v>
      </c>
    </row>
    <row r="148" spans="1:7" x14ac:dyDescent="0.35">
      <c r="A148" s="1">
        <v>1993.1666666675901</v>
      </c>
      <c r="B148">
        <v>143.9</v>
      </c>
      <c r="C148">
        <v>-194.68799334704417</v>
      </c>
      <c r="D148">
        <v>-1.3743848793822491</v>
      </c>
      <c r="E148">
        <v>0.99151620943605712</v>
      </c>
      <c r="F148">
        <v>-2.5974315713810481E-2</v>
      </c>
      <c r="G148">
        <v>-0.94982540081236477</v>
      </c>
    </row>
    <row r="149" spans="1:7" x14ac:dyDescent="0.35">
      <c r="A149" s="1">
        <v>1993.25000000092</v>
      </c>
      <c r="B149">
        <v>223.8</v>
      </c>
      <c r="C149">
        <v>-115.15782809748379</v>
      </c>
      <c r="D149">
        <v>-0.81294780925474941</v>
      </c>
      <c r="E149">
        <v>0.98891490656413517</v>
      </c>
      <c r="F149">
        <v>-2.8466643876446707E-2</v>
      </c>
      <c r="G149">
        <v>-1.0409645331042383</v>
      </c>
    </row>
    <row r="150" spans="1:7" x14ac:dyDescent="0.35">
      <c r="A150" s="1">
        <v>1993.33333333425</v>
      </c>
      <c r="B150">
        <v>340.4</v>
      </c>
      <c r="C150">
        <v>1.0723371520747378</v>
      </c>
      <c r="D150">
        <v>7.570081452235769E-3</v>
      </c>
      <c r="E150">
        <v>0.99616338047087638</v>
      </c>
      <c r="F150">
        <v>-2.1109195260419322E-2</v>
      </c>
      <c r="G150">
        <v>-0.77191830845398368</v>
      </c>
    </row>
    <row r="151" spans="1:7" x14ac:dyDescent="0.35">
      <c r="A151" s="1">
        <v>1993.4166666675801</v>
      </c>
      <c r="B151">
        <v>397.4</v>
      </c>
      <c r="C151">
        <v>57.702502401635115</v>
      </c>
      <c r="D151">
        <v>0.40734636707645139</v>
      </c>
      <c r="E151">
        <v>1.0051940766769971</v>
      </c>
      <c r="F151">
        <v>-1.1969524345011973E-2</v>
      </c>
      <c r="G151">
        <v>-0.43770001041797152</v>
      </c>
    </row>
    <row r="152" spans="1:7" x14ac:dyDescent="0.35">
      <c r="A152" s="1">
        <v>1993.5000000009099</v>
      </c>
      <c r="B152">
        <v>385.8</v>
      </c>
      <c r="C152">
        <v>45.732667651195527</v>
      </c>
      <c r="D152">
        <v>0.32284624148122287</v>
      </c>
      <c r="E152">
        <v>1.0085773765102468</v>
      </c>
      <c r="F152">
        <v>-8.4772498024765497E-3</v>
      </c>
      <c r="G152">
        <v>-0.3099949688816197</v>
      </c>
    </row>
    <row r="153" spans="1:7" x14ac:dyDescent="0.35">
      <c r="A153" s="1">
        <v>1993.58333333424</v>
      </c>
      <c r="B153">
        <v>328.7</v>
      </c>
      <c r="C153">
        <v>-11.737167099245937</v>
      </c>
      <c r="D153">
        <v>-8.2857626249364713E-2</v>
      </c>
      <c r="E153">
        <v>1.0212169847772705</v>
      </c>
      <c r="F153">
        <v>4.271333173833769E-3</v>
      </c>
      <c r="G153">
        <v>0.15619355630155543</v>
      </c>
    </row>
    <row r="154" spans="1:7" x14ac:dyDescent="0.35">
      <c r="A154" s="1">
        <v>1993.6666666675701</v>
      </c>
      <c r="B154">
        <v>351.7</v>
      </c>
      <c r="C154">
        <v>10.89299815031444</v>
      </c>
      <c r="D154">
        <v>7.6898280636350791E-2</v>
      </c>
      <c r="E154">
        <v>1.0344126068453905</v>
      </c>
      <c r="F154">
        <v>1.757592995123991E-2</v>
      </c>
      <c r="G154">
        <v>0.64271432189105793</v>
      </c>
    </row>
    <row r="155" spans="1:7" x14ac:dyDescent="0.35">
      <c r="A155" s="1">
        <v>1993.7500000008999</v>
      </c>
      <c r="B155">
        <v>407.6</v>
      </c>
      <c r="C155">
        <v>66.423163399874852</v>
      </c>
      <c r="D155">
        <v>0.4689092010660858</v>
      </c>
      <c r="E155">
        <v>1.0448393632246182</v>
      </c>
      <c r="F155">
        <v>2.8111661039753377E-2</v>
      </c>
      <c r="G155">
        <v>1.0279835668736201</v>
      </c>
    </row>
    <row r="156" spans="1:7" x14ac:dyDescent="0.35">
      <c r="A156" s="1">
        <v>1993.83333333423</v>
      </c>
      <c r="B156">
        <v>432.1</v>
      </c>
      <c r="C156">
        <v>90.553328649433411</v>
      </c>
      <c r="D156">
        <v>0.63925424230789873</v>
      </c>
      <c r="E156">
        <v>1.0511040937050304</v>
      </c>
      <c r="F156">
        <v>3.4485366229452197E-2</v>
      </c>
      <c r="G156">
        <v>1.2610563897794649</v>
      </c>
    </row>
    <row r="157" spans="1:7" x14ac:dyDescent="0.35">
      <c r="A157" s="1">
        <v>1993.9166666675601</v>
      </c>
      <c r="B157">
        <v>456.5</v>
      </c>
      <c r="C157">
        <v>114.58349389899377</v>
      </c>
      <c r="D157">
        <v>0.808893341259317</v>
      </c>
      <c r="E157">
        <v>1.0551323446992873</v>
      </c>
      <c r="F157">
        <v>3.8622591932995221E-2</v>
      </c>
      <c r="G157">
        <v>1.4123459215390846</v>
      </c>
    </row>
    <row r="158" spans="1:7" x14ac:dyDescent="0.35">
      <c r="A158" s="1">
        <v>1994.0000000008899</v>
      </c>
      <c r="B158">
        <v>443.9</v>
      </c>
      <c r="C158">
        <v>101.61365914855412</v>
      </c>
      <c r="D158">
        <v>0.71733379276001452</v>
      </c>
      <c r="E158">
        <v>1.0494071541792975</v>
      </c>
      <c r="F158">
        <v>3.3006376122291625E-2</v>
      </c>
      <c r="G158">
        <v>1.2069728717838637</v>
      </c>
    </row>
    <row r="159" spans="1:7" x14ac:dyDescent="0.35">
      <c r="A159" s="1">
        <v>1994.08333333422</v>
      </c>
      <c r="B159">
        <v>270.10000000000002</v>
      </c>
      <c r="C159">
        <v>-72.556175601887276</v>
      </c>
      <c r="D159">
        <v>-0.51220472787595406</v>
      </c>
      <c r="E159">
        <v>1.0221955278072761</v>
      </c>
      <c r="F159">
        <v>5.9037244595563365E-3</v>
      </c>
      <c r="G159">
        <v>0.21588662865532063</v>
      </c>
    </row>
    <row r="160" spans="1:7" x14ac:dyDescent="0.35">
      <c r="A160" s="1">
        <v>1994.1666666675501</v>
      </c>
      <c r="B160">
        <v>232.3</v>
      </c>
      <c r="C160">
        <v>-110.72601035232691</v>
      </c>
      <c r="D160">
        <v>-0.78166173355790947</v>
      </c>
      <c r="E160">
        <v>0.99117185440046129</v>
      </c>
      <c r="F160">
        <v>-2.5010974237972272E-2</v>
      </c>
      <c r="G160">
        <v>-0.91459805494158652</v>
      </c>
    </row>
    <row r="161" spans="1:7" x14ac:dyDescent="0.35">
      <c r="A161" s="1">
        <v>1994.2500000008799</v>
      </c>
      <c r="B161">
        <v>304.2</v>
      </c>
      <c r="C161">
        <v>-39.195845102766555</v>
      </c>
      <c r="D161">
        <v>-0.2767000466629983</v>
      </c>
      <c r="E161">
        <v>0.98676571805172986</v>
      </c>
      <c r="F161">
        <v>-2.930813587741754E-2</v>
      </c>
      <c r="G161">
        <v>-1.0717361032163835</v>
      </c>
    </row>
    <row r="162" spans="1:7" x14ac:dyDescent="0.35">
      <c r="A162" s="1">
        <v>1994.33333333421</v>
      </c>
      <c r="B162">
        <v>379.7</v>
      </c>
      <c r="C162">
        <v>35.934320146792004</v>
      </c>
      <c r="D162">
        <v>0.25367556268656488</v>
      </c>
      <c r="E162">
        <v>0.99479836654000309</v>
      </c>
      <c r="F162">
        <v>-2.116651267985814E-2</v>
      </c>
      <c r="G162">
        <v>-0.77401428439775255</v>
      </c>
    </row>
    <row r="163" spans="1:7" x14ac:dyDescent="0.35">
      <c r="A163" s="1">
        <v>1994.4166666675401</v>
      </c>
      <c r="B163">
        <v>444.4</v>
      </c>
      <c r="C163">
        <v>100.26448539635237</v>
      </c>
      <c r="D163">
        <v>0.7078094046721467</v>
      </c>
      <c r="E163">
        <v>1.0034972152385384</v>
      </c>
      <c r="F163">
        <v>-1.2358689272036649E-2</v>
      </c>
      <c r="G163">
        <v>-0.45193094288472313</v>
      </c>
    </row>
    <row r="164" spans="1:7" x14ac:dyDescent="0.35">
      <c r="A164" s="1">
        <v>1994.5000000008699</v>
      </c>
      <c r="B164">
        <v>446.2</v>
      </c>
      <c r="C164">
        <v>101.69465064591276</v>
      </c>
      <c r="D164">
        <v>0.71790554599150336</v>
      </c>
      <c r="E164">
        <v>1.0105231519737548</v>
      </c>
      <c r="F164">
        <v>-5.2237778275341373E-3</v>
      </c>
      <c r="G164">
        <v>-0.19102242859681967</v>
      </c>
    </row>
    <row r="165" spans="1:7" x14ac:dyDescent="0.35">
      <c r="A165" s="1">
        <v>1994.5833333342</v>
      </c>
      <c r="B165">
        <v>377.2</v>
      </c>
      <c r="C165">
        <v>32.324815895471318</v>
      </c>
      <c r="D165">
        <v>0.22819454570244083</v>
      </c>
      <c r="E165">
        <v>1.020816591029988</v>
      </c>
      <c r="F165">
        <v>5.1786359379852875E-3</v>
      </c>
      <c r="G165">
        <v>0.18937168584743469</v>
      </c>
    </row>
    <row r="166" spans="1:7" x14ac:dyDescent="0.35">
      <c r="A166" s="1">
        <v>1994.6666666675301</v>
      </c>
      <c r="B166">
        <v>350.3</v>
      </c>
      <c r="C166">
        <v>5.0549811450317179</v>
      </c>
      <c r="D166">
        <v>3.5685249674887148E-2</v>
      </c>
      <c r="E166">
        <v>1.0283012478022611</v>
      </c>
      <c r="F166">
        <v>1.2772267419544514E-2</v>
      </c>
      <c r="G166">
        <v>0.46705461482478416</v>
      </c>
    </row>
    <row r="167" spans="1:7" x14ac:dyDescent="0.35">
      <c r="A167" s="1">
        <v>1994.7500000008599</v>
      </c>
      <c r="B167">
        <v>413</v>
      </c>
      <c r="C167">
        <v>67.385146394592084</v>
      </c>
      <c r="D167">
        <v>0.47570024585232185</v>
      </c>
      <c r="E167">
        <v>1.0402283096704155</v>
      </c>
      <c r="F167">
        <v>2.4808303996985082E-2</v>
      </c>
      <c r="G167">
        <v>0.90718683591275617</v>
      </c>
    </row>
    <row r="168" spans="1:7" x14ac:dyDescent="0.35">
      <c r="A168" s="1">
        <v>1994.83333333419</v>
      </c>
      <c r="B168">
        <v>473.5</v>
      </c>
      <c r="C168">
        <v>127.51531164415064</v>
      </c>
      <c r="D168">
        <v>0.90018451164078206</v>
      </c>
      <c r="E168">
        <v>1.048696074687264</v>
      </c>
      <c r="F168">
        <v>3.3385043723119789E-2</v>
      </c>
      <c r="G168">
        <v>1.2208199393907315</v>
      </c>
    </row>
    <row r="169" spans="1:7" x14ac:dyDescent="0.35">
      <c r="A169" s="1">
        <v>1994.9166666675201</v>
      </c>
      <c r="B169">
        <v>485.2</v>
      </c>
      <c r="C169">
        <v>138.84547689371101</v>
      </c>
      <c r="D169">
        <v>0.98016893971046648</v>
      </c>
      <c r="E169">
        <v>1.0630847799845875</v>
      </c>
      <c r="F169">
        <v>4.7882723729729904E-2</v>
      </c>
      <c r="G169">
        <v>1.7509692174256506</v>
      </c>
    </row>
    <row r="170" spans="1:7" x14ac:dyDescent="0.35">
      <c r="A170" s="1">
        <v>1995.0000000008499</v>
      </c>
      <c r="B170">
        <v>344.7</v>
      </c>
      <c r="C170">
        <v>-2.0243578567286136</v>
      </c>
      <c r="D170">
        <v>-1.4290798219840806E-2</v>
      </c>
      <c r="E170">
        <v>1.0535081485352387</v>
      </c>
      <c r="F170">
        <v>3.8415066989666791E-2</v>
      </c>
      <c r="G170">
        <v>1.4047571763860915</v>
      </c>
    </row>
    <row r="171" spans="1:7" x14ac:dyDescent="0.35">
      <c r="A171" s="1">
        <v>1995.08333333418</v>
      </c>
      <c r="B171">
        <v>148.6</v>
      </c>
      <c r="C171">
        <v>-198.49419260717005</v>
      </c>
      <c r="D171">
        <v>-1.4012544496166495</v>
      </c>
      <c r="E171">
        <v>1.0246090163392774</v>
      </c>
      <c r="F171">
        <v>9.6249095029921072E-3</v>
      </c>
      <c r="G171">
        <v>0.35196243963420387</v>
      </c>
    </row>
    <row r="172" spans="1:7" x14ac:dyDescent="0.35">
      <c r="A172" s="1">
        <v>1995.1666666675101</v>
      </c>
      <c r="B172">
        <v>135.19999999999999</v>
      </c>
      <c r="C172">
        <v>-212.26402735760968</v>
      </c>
      <c r="D172">
        <v>-1.4984615364392107</v>
      </c>
      <c r="E172">
        <v>0.99961786753745485</v>
      </c>
      <c r="F172">
        <v>-1.5257264589544239E-2</v>
      </c>
      <c r="G172">
        <v>-0.557925668330853</v>
      </c>
    </row>
    <row r="173" spans="1:7" x14ac:dyDescent="0.35">
      <c r="A173" s="1">
        <v>1995.2500000008399</v>
      </c>
      <c r="B173">
        <v>182.4</v>
      </c>
      <c r="C173">
        <v>-165.43386210804928</v>
      </c>
      <c r="D173">
        <v>-1.1678675952749156</v>
      </c>
      <c r="E173">
        <v>0.99589225789584845</v>
      </c>
      <c r="F173">
        <v>-1.8873899521864912E-2</v>
      </c>
      <c r="G173">
        <v>-0.69017830443617934</v>
      </c>
    </row>
    <row r="174" spans="1:7" x14ac:dyDescent="0.35">
      <c r="A174" s="1">
        <v>1995.33333333417</v>
      </c>
      <c r="B174">
        <v>289.89999999999998</v>
      </c>
      <c r="C174">
        <v>-58.303696858490753</v>
      </c>
      <c r="D174">
        <v>-0.41159045299499941</v>
      </c>
      <c r="E174">
        <v>1.0013044471857524</v>
      </c>
      <c r="F174">
        <v>-1.3352735522674353E-2</v>
      </c>
      <c r="G174">
        <v>-0.48828109696928135</v>
      </c>
    </row>
    <row r="175" spans="1:7" x14ac:dyDescent="0.35">
      <c r="A175" s="1">
        <v>1995.4166666675001</v>
      </c>
      <c r="B175">
        <v>370.4</v>
      </c>
      <c r="C175">
        <v>21.826468391067806</v>
      </c>
      <c r="D175">
        <v>0.15408227087493145</v>
      </c>
      <c r="E175">
        <v>1.0032752402952549</v>
      </c>
      <c r="F175">
        <v>-1.1272967703885639E-2</v>
      </c>
      <c r="G175">
        <v>-0.41222841770553864</v>
      </c>
    </row>
    <row r="176" spans="1:7" x14ac:dyDescent="0.35">
      <c r="A176" s="1">
        <v>1995.5000000008299</v>
      </c>
      <c r="B176">
        <v>439.9</v>
      </c>
      <c r="C176">
        <v>90.956633640630002</v>
      </c>
      <c r="D176">
        <v>0.64210134280007913</v>
      </c>
      <c r="E176">
        <v>1.0076978889757544</v>
      </c>
      <c r="F176">
        <v>-6.7413443141000062E-3</v>
      </c>
      <c r="G176">
        <v>-0.24651660262025385</v>
      </c>
    </row>
    <row r="177" spans="1:7" x14ac:dyDescent="0.35">
      <c r="A177" s="1">
        <v>1995.58333333416</v>
      </c>
      <c r="B177">
        <v>528.79999999999995</v>
      </c>
      <c r="C177">
        <v>179.48679889018854</v>
      </c>
      <c r="D177">
        <v>1.2670732190642275</v>
      </c>
      <c r="E177">
        <v>1.017333002154917</v>
      </c>
      <c r="F177">
        <v>3.0027435743487096E-3</v>
      </c>
      <c r="G177">
        <v>0.10980393672221787</v>
      </c>
    </row>
    <row r="178" spans="1:7" x14ac:dyDescent="0.35">
      <c r="A178" s="1">
        <v>1995.6666666674901</v>
      </c>
      <c r="B178">
        <v>577.79999999999995</v>
      </c>
      <c r="C178">
        <v>228.1169641397471</v>
      </c>
      <c r="D178">
        <v>1.610374121455842</v>
      </c>
      <c r="E178">
        <v>1.0330555885954977</v>
      </c>
      <c r="F178">
        <v>1.8834304724215656E-2</v>
      </c>
      <c r="G178">
        <v>0.688730407022353</v>
      </c>
    </row>
    <row r="179" spans="1:7" x14ac:dyDescent="0.35">
      <c r="A179" s="1">
        <v>1995.7500000008199</v>
      </c>
      <c r="B179">
        <v>565.20000000000005</v>
      </c>
      <c r="C179">
        <v>215.14712938930757</v>
      </c>
      <c r="D179">
        <v>1.5188145729565403</v>
      </c>
      <c r="E179">
        <v>1.049881286623749</v>
      </c>
      <c r="F179">
        <v>3.5768977461753115E-2</v>
      </c>
      <c r="G179">
        <v>1.3079953184750612</v>
      </c>
    </row>
    <row r="180" spans="1:7" x14ac:dyDescent="0.35">
      <c r="A180" s="1">
        <v>1995.83333333415</v>
      </c>
      <c r="B180">
        <v>571.5</v>
      </c>
      <c r="C180">
        <v>221.0772946388679</v>
      </c>
      <c r="D180">
        <v>1.5606781173442275</v>
      </c>
      <c r="E180">
        <v>1.0614817769508986</v>
      </c>
      <c r="F180">
        <v>4.7478442498188889E-2</v>
      </c>
      <c r="G180">
        <v>1.7361855139002027</v>
      </c>
    </row>
    <row r="181" spans="1:7" x14ac:dyDescent="0.35">
      <c r="A181" s="1">
        <v>1995.9166666674801</v>
      </c>
      <c r="B181">
        <v>543.9</v>
      </c>
      <c r="C181">
        <v>193.10745988842643</v>
      </c>
      <c r="D181">
        <v>1.3632272252838091</v>
      </c>
      <c r="E181">
        <v>1.0677224537893064</v>
      </c>
      <c r="F181">
        <v>5.3828094045882846E-2</v>
      </c>
      <c r="G181">
        <v>1.9683787463517697</v>
      </c>
    </row>
    <row r="182" spans="1:7" x14ac:dyDescent="0.35">
      <c r="A182" s="1">
        <v>1996.0000000008099</v>
      </c>
      <c r="B182">
        <v>380.6</v>
      </c>
      <c r="C182">
        <v>29.437625137986856</v>
      </c>
      <c r="D182">
        <v>0.20781264514062561</v>
      </c>
      <c r="E182">
        <v>1.0615939803195431</v>
      </c>
      <c r="F182">
        <v>4.7808595285405708E-2</v>
      </c>
      <c r="G182">
        <v>1.7482584981090146</v>
      </c>
    </row>
    <row r="183" spans="1:7" x14ac:dyDescent="0.35">
      <c r="A183" s="1">
        <v>1996.08333333414</v>
      </c>
      <c r="B183">
        <v>298.2</v>
      </c>
      <c r="C183">
        <v>-53.3322096124528</v>
      </c>
      <c r="D183">
        <v>-0.37649462206300965</v>
      </c>
      <c r="E183">
        <v>1.0305874366642147</v>
      </c>
      <c r="F183">
        <v>1.6911026339363477E-2</v>
      </c>
      <c r="G183">
        <v>0.61840021303789094</v>
      </c>
    </row>
    <row r="184" spans="1:7" x14ac:dyDescent="0.35">
      <c r="A184" s="1">
        <v>1996.1666666674701</v>
      </c>
      <c r="B184">
        <v>313.39999999999998</v>
      </c>
      <c r="C184">
        <v>-38.502044362894253</v>
      </c>
      <c r="D184">
        <v>-0.2718022138290806</v>
      </c>
      <c r="E184">
        <v>0.9991411206669627</v>
      </c>
      <c r="F184">
        <v>-1.4426314948602359E-2</v>
      </c>
      <c r="G184">
        <v>-0.52753960986992288</v>
      </c>
    </row>
    <row r="185" spans="1:7" x14ac:dyDescent="0.35">
      <c r="A185" s="1">
        <v>1996.2500000007999</v>
      </c>
      <c r="B185">
        <v>349.2</v>
      </c>
      <c r="C185">
        <v>-3.0718791133338641</v>
      </c>
      <c r="D185">
        <v>-2.1685693771223803E-2</v>
      </c>
      <c r="E185">
        <v>0.99613535718664625</v>
      </c>
      <c r="F185">
        <v>-1.7323103719632638E-2</v>
      </c>
      <c r="G185">
        <v>-0.63346900511669046</v>
      </c>
    </row>
    <row r="186" spans="1:7" x14ac:dyDescent="0.35">
      <c r="A186" s="1">
        <v>1996.33333333413</v>
      </c>
      <c r="B186">
        <v>368.6</v>
      </c>
      <c r="C186">
        <v>15.958286136226548</v>
      </c>
      <c r="D186">
        <v>0.11265629065982721</v>
      </c>
      <c r="E186">
        <v>1.0015673701137104</v>
      </c>
      <c r="F186">
        <v>-1.1782116083282279E-2</v>
      </c>
      <c r="G186">
        <v>-0.4308468894628617</v>
      </c>
    </row>
    <row r="187" spans="1:7" x14ac:dyDescent="0.35">
      <c r="A187" s="1">
        <v>1996.41666666746</v>
      </c>
      <c r="B187">
        <v>428.3</v>
      </c>
      <c r="C187">
        <v>75.288451385785095</v>
      </c>
      <c r="D187">
        <v>0.53149301812502847</v>
      </c>
      <c r="E187">
        <v>1.0054355322011295</v>
      </c>
      <c r="F187">
        <v>-7.804979286576641E-3</v>
      </c>
      <c r="G187">
        <v>-0.28541146803969197</v>
      </c>
    </row>
    <row r="188" spans="1:7" x14ac:dyDescent="0.35">
      <c r="A188" s="1">
        <v>1996.5000000007899</v>
      </c>
      <c r="B188">
        <v>464.1</v>
      </c>
      <c r="C188">
        <v>110.71861663534548</v>
      </c>
      <c r="D188">
        <v>0.78160953818288526</v>
      </c>
      <c r="E188">
        <v>1.0122537232247959</v>
      </c>
      <c r="F188">
        <v>-8.7781355362448465E-4</v>
      </c>
      <c r="G188">
        <v>-3.2099771928424711E-2</v>
      </c>
    </row>
    <row r="189" spans="1:7" x14ac:dyDescent="0.35">
      <c r="A189" s="1">
        <v>1996.58333333412</v>
      </c>
      <c r="B189">
        <v>478.5</v>
      </c>
      <c r="C189">
        <v>124.74878188490584</v>
      </c>
      <c r="D189">
        <v>0.88065440809356821</v>
      </c>
      <c r="E189">
        <v>1.0284145593724383</v>
      </c>
      <c r="F189">
        <v>1.5391997303304095E-2</v>
      </c>
      <c r="G189">
        <v>0.56285255669468393</v>
      </c>
    </row>
    <row r="190" spans="1:7" x14ac:dyDescent="0.35">
      <c r="A190" s="1">
        <v>1996.66666666745</v>
      </c>
      <c r="B190">
        <v>460.3</v>
      </c>
      <c r="C190">
        <v>106.17894713446441</v>
      </c>
      <c r="D190">
        <v>0.74956209133144136</v>
      </c>
      <c r="E190">
        <v>1.0434682863136693</v>
      </c>
      <c r="F190">
        <v>3.055469895382168E-2</v>
      </c>
      <c r="G190">
        <v>1.1173202597627387</v>
      </c>
    </row>
    <row r="191" spans="1:7" x14ac:dyDescent="0.35">
      <c r="A191" s="1">
        <v>1996.7500000007799</v>
      </c>
      <c r="B191">
        <v>452.9</v>
      </c>
      <c r="C191">
        <v>98.409112384024752</v>
      </c>
      <c r="D191">
        <v>0.69471154193332119</v>
      </c>
      <c r="E191">
        <v>1.0545603193036599</v>
      </c>
      <c r="F191">
        <v>4.1755706653098024E-2</v>
      </c>
      <c r="G191">
        <v>1.526917253373264</v>
      </c>
    </row>
    <row r="192" spans="1:7" x14ac:dyDescent="0.35">
      <c r="A192" s="1">
        <v>1996.83333333411</v>
      </c>
      <c r="B192">
        <v>456.4</v>
      </c>
      <c r="C192">
        <v>101.53927763358513</v>
      </c>
      <c r="D192">
        <v>0.7168087021896028</v>
      </c>
      <c r="E192">
        <v>1.053476163777626</v>
      </c>
      <c r="F192">
        <v>4.0780525836350723E-2</v>
      </c>
      <c r="G192">
        <v>1.4912569680230312</v>
      </c>
    </row>
    <row r="193" spans="1:7" x14ac:dyDescent="0.35">
      <c r="A193" s="1">
        <v>1996.91666666744</v>
      </c>
      <c r="B193">
        <v>438.6</v>
      </c>
      <c r="C193">
        <v>83.369442883143734</v>
      </c>
      <c r="D193">
        <v>0.58854015458910558</v>
      </c>
      <c r="E193">
        <v>1.0532667813601209</v>
      </c>
      <c r="F193">
        <v>4.068011812813177E-2</v>
      </c>
      <c r="G193">
        <v>1.4875852720001399</v>
      </c>
    </row>
    <row r="194" spans="1:7" x14ac:dyDescent="0.35">
      <c r="A194" s="1">
        <v>1997.0000000007699</v>
      </c>
      <c r="B194">
        <v>288.60000000000002</v>
      </c>
      <c r="C194">
        <v>-67.000391867295889</v>
      </c>
      <c r="D194">
        <v>-0.4729841009299004</v>
      </c>
      <c r="E194">
        <v>1.0364167856402398</v>
      </c>
      <c r="F194">
        <v>2.393909711753639E-2</v>
      </c>
      <c r="G194">
        <v>0.87540179172688604</v>
      </c>
    </row>
    <row r="195" spans="1:7" x14ac:dyDescent="0.35">
      <c r="A195" s="1">
        <v>1997.0833333341</v>
      </c>
      <c r="B195">
        <v>218.1</v>
      </c>
      <c r="C195">
        <v>-137.87022661773554</v>
      </c>
      <c r="D195">
        <v>-0.9732842355750605</v>
      </c>
      <c r="E195">
        <v>0.98965104294185413</v>
      </c>
      <c r="F195">
        <v>-2.2717670871562623E-2</v>
      </c>
      <c r="G195">
        <v>-0.83073683552835687</v>
      </c>
    </row>
    <row r="196" spans="1:7" x14ac:dyDescent="0.35">
      <c r="A196" s="1">
        <v>1997.16666666743</v>
      </c>
      <c r="B196">
        <v>132.69999999999999</v>
      </c>
      <c r="C196">
        <v>-223.64006136817699</v>
      </c>
      <c r="D196">
        <v>-1.578769771490929</v>
      </c>
      <c r="E196">
        <v>0.96822618875616384</v>
      </c>
      <c r="F196">
        <v>-4.4033550347966743E-2</v>
      </c>
      <c r="G196">
        <v>-1.6102131455270989</v>
      </c>
    </row>
    <row r="197" spans="1:7" x14ac:dyDescent="0.35">
      <c r="A197" s="1">
        <v>1997.2500000007601</v>
      </c>
      <c r="B197">
        <v>131.80000000000001</v>
      </c>
      <c r="C197">
        <v>-224.90989611861659</v>
      </c>
      <c r="D197">
        <v>-1.5877340720125708</v>
      </c>
      <c r="E197">
        <v>0.96439043981316641</v>
      </c>
      <c r="F197">
        <v>-4.7760324581678004E-2</v>
      </c>
      <c r="G197">
        <v>-1.7464933412894785</v>
      </c>
    </row>
    <row r="198" spans="1:7" x14ac:dyDescent="0.35">
      <c r="A198" s="1">
        <v>1997.33333333409</v>
      </c>
      <c r="B198">
        <v>173.5</v>
      </c>
      <c r="C198">
        <v>-183.57973086905622</v>
      </c>
      <c r="D198">
        <v>-1.2959669568206804</v>
      </c>
      <c r="E198">
        <v>0.96964864201342293</v>
      </c>
      <c r="F198">
        <v>-4.2393147672135312E-2</v>
      </c>
      <c r="G198">
        <v>-1.5502271137011745</v>
      </c>
    </row>
    <row r="199" spans="1:7" x14ac:dyDescent="0.35">
      <c r="A199" s="1">
        <v>1997.41666666742</v>
      </c>
      <c r="B199">
        <v>219.6</v>
      </c>
      <c r="C199">
        <v>-137.84956561949767</v>
      </c>
      <c r="D199">
        <v>-0.973138380850879</v>
      </c>
      <c r="E199">
        <v>0.97228589461693149</v>
      </c>
      <c r="F199">
        <v>-3.9646920359340587E-2</v>
      </c>
      <c r="G199">
        <v>-1.4498034302887881</v>
      </c>
    </row>
    <row r="200" spans="1:7" x14ac:dyDescent="0.35">
      <c r="A200" s="1">
        <v>1997.5000000007501</v>
      </c>
      <c r="B200">
        <v>251.2</v>
      </c>
      <c r="C200">
        <v>-106.6194003699373</v>
      </c>
      <c r="D200">
        <v>-0.75267143699013117</v>
      </c>
      <c r="E200">
        <v>0.97707751637493268</v>
      </c>
      <c r="F200">
        <v>-3.4746323892053232E-2</v>
      </c>
      <c r="G200">
        <v>-1.2705990556655171</v>
      </c>
    </row>
    <row r="201" spans="1:7" x14ac:dyDescent="0.35">
      <c r="A201" s="1">
        <v>1997.58333333408</v>
      </c>
      <c r="B201">
        <v>188.8</v>
      </c>
      <c r="C201">
        <v>-169.3892351203769</v>
      </c>
      <c r="D201">
        <v>-1.1957902461122953</v>
      </c>
      <c r="E201">
        <v>0.98367324648464782</v>
      </c>
      <c r="F201">
        <v>-2.8041619073051915E-2</v>
      </c>
      <c r="G201">
        <v>-1.0254222813395459</v>
      </c>
    </row>
    <row r="202" spans="1:7" x14ac:dyDescent="0.35">
      <c r="A202" s="1">
        <v>1997.66666666741</v>
      </c>
      <c r="B202">
        <v>188.8</v>
      </c>
      <c r="C202">
        <v>-169.75906987081834</v>
      </c>
      <c r="D202">
        <v>-1.198401066020284</v>
      </c>
      <c r="E202">
        <v>0.98511532692903603</v>
      </c>
      <c r="F202">
        <v>-2.6490563919377541E-2</v>
      </c>
      <c r="G202">
        <v>-0.96870349809023348</v>
      </c>
    </row>
    <row r="203" spans="1:7" x14ac:dyDescent="0.35">
      <c r="A203" s="1">
        <v>1997.7500000007401</v>
      </c>
      <c r="B203">
        <v>251</v>
      </c>
      <c r="C203">
        <v>-107.92890462125797</v>
      </c>
      <c r="D203">
        <v>-0.76191578129488602</v>
      </c>
      <c r="E203">
        <v>0.98972524226027003</v>
      </c>
      <c r="F203">
        <v>-2.1771673878856923E-2</v>
      </c>
      <c r="G203">
        <v>-0.79614374046228642</v>
      </c>
    </row>
    <row r="204" spans="1:7" x14ac:dyDescent="0.35">
      <c r="A204" s="1">
        <v>1997.8333333340699</v>
      </c>
      <c r="B204">
        <v>280.3</v>
      </c>
      <c r="C204">
        <v>-78.998739371697582</v>
      </c>
      <c r="D204">
        <v>-0.5576855101135072</v>
      </c>
      <c r="E204">
        <v>0.99250552691772342</v>
      </c>
      <c r="F204">
        <v>-1.8882414512117807E-2</v>
      </c>
      <c r="G204">
        <v>-0.69048967949294626</v>
      </c>
    </row>
    <row r="205" spans="1:7" x14ac:dyDescent="0.35">
      <c r="A205" s="1">
        <v>1997.9166666674</v>
      </c>
      <c r="B205">
        <v>251</v>
      </c>
      <c r="C205">
        <v>-108.66857412213903</v>
      </c>
      <c r="D205">
        <v>-0.76713742111085048</v>
      </c>
      <c r="E205">
        <v>0.99741694994528429</v>
      </c>
      <c r="F205">
        <v>-1.3862016775270769E-2</v>
      </c>
      <c r="G205">
        <v>-0.50690442761650267</v>
      </c>
    </row>
    <row r="206" spans="1:7" x14ac:dyDescent="0.35">
      <c r="A206" s="1">
        <v>1998.0000000007301</v>
      </c>
      <c r="B206">
        <v>143.4</v>
      </c>
      <c r="C206">
        <v>-216.63840887257865</v>
      </c>
      <c r="D206">
        <v>-1.5293421454971385</v>
      </c>
      <c r="E206">
        <v>0.98709496118835682</v>
      </c>
      <c r="F206">
        <v>-2.4075030822911625E-2</v>
      </c>
      <c r="G206">
        <v>-0.88037259779604993</v>
      </c>
    </row>
    <row r="207" spans="1:7" x14ac:dyDescent="0.35">
      <c r="A207" s="1">
        <v>1998.0833333340599</v>
      </c>
      <c r="B207">
        <v>135.80000000000001</v>
      </c>
      <c r="C207">
        <v>-224.60824362301827</v>
      </c>
      <c r="D207">
        <v>-1.5856045794760731</v>
      </c>
      <c r="E207">
        <v>0.9730046155381854</v>
      </c>
      <c r="F207">
        <v>-3.8056401763797321E-2</v>
      </c>
      <c r="G207">
        <v>-1.3916415530267765</v>
      </c>
    </row>
    <row r="208" spans="1:7" x14ac:dyDescent="0.35">
      <c r="A208" s="1">
        <v>1998.16666666739</v>
      </c>
      <c r="B208">
        <v>142.1</v>
      </c>
      <c r="C208">
        <v>-218.67807837345973</v>
      </c>
      <c r="D208">
        <v>-1.5437410350883987</v>
      </c>
      <c r="E208">
        <v>0.96372849404962491</v>
      </c>
      <c r="F208">
        <v>-4.7223548543071203E-2</v>
      </c>
      <c r="G208">
        <v>-1.7268645848812745</v>
      </c>
    </row>
    <row r="209" spans="1:7" x14ac:dyDescent="0.35">
      <c r="A209" s="1">
        <v>1998.2500000007201</v>
      </c>
      <c r="B209">
        <v>204.5</v>
      </c>
      <c r="C209">
        <v>-156.64791312389934</v>
      </c>
      <c r="D209">
        <v>-1.1058438657821859</v>
      </c>
      <c r="E209">
        <v>0.96319691876956315</v>
      </c>
      <c r="F209">
        <v>-4.7646149113846792E-2</v>
      </c>
      <c r="G209">
        <v>-1.7423181876226561</v>
      </c>
    </row>
    <row r="210" spans="1:7" x14ac:dyDescent="0.35">
      <c r="A210" s="1">
        <v>1998.3333333340499</v>
      </c>
      <c r="B210">
        <v>319</v>
      </c>
      <c r="C210">
        <v>-42.517747874338966</v>
      </c>
      <c r="D210">
        <v>-0.30015076317374195</v>
      </c>
      <c r="E210">
        <v>0.96993835224248115</v>
      </c>
      <c r="F210">
        <v>-4.0795740931643065E-2</v>
      </c>
      <c r="G210">
        <v>-1.4918133516500081</v>
      </c>
    </row>
    <row r="211" spans="1:7" x14ac:dyDescent="0.35">
      <c r="A211" s="1">
        <v>1998.41666666738</v>
      </c>
      <c r="B211">
        <v>402.8</v>
      </c>
      <c r="C211">
        <v>40.912417375219604</v>
      </c>
      <c r="D211">
        <v>0.28881805627963164</v>
      </c>
      <c r="E211">
        <v>0.97386393451256259</v>
      </c>
      <c r="F211">
        <v>-3.6761183952275012E-2</v>
      </c>
      <c r="G211">
        <v>-1.3442781964508663</v>
      </c>
    </row>
    <row r="212" spans="1:7" x14ac:dyDescent="0.35">
      <c r="A212" s="1">
        <v>1998.5000000007101</v>
      </c>
      <c r="B212">
        <v>449.2</v>
      </c>
      <c r="C212">
        <v>86.942582624779959</v>
      </c>
      <c r="D212">
        <v>0.61376445912066768</v>
      </c>
      <c r="E212">
        <v>0.98554697895417287</v>
      </c>
      <c r="F212">
        <v>-2.4969164801378563E-2</v>
      </c>
      <c r="G212">
        <v>-0.91306917289872902</v>
      </c>
    </row>
    <row r="213" spans="1:7" x14ac:dyDescent="0.35">
      <c r="A213" s="1">
        <v>1998.5833333340399</v>
      </c>
      <c r="B213">
        <v>465</v>
      </c>
      <c r="C213">
        <v>102.37274787434035</v>
      </c>
      <c r="D213">
        <v>0.72269252109705384</v>
      </c>
      <c r="E213">
        <v>0.99880592064506823</v>
      </c>
      <c r="F213">
        <v>-1.1601248401197028E-2</v>
      </c>
      <c r="G213">
        <v>-0.42423294357402802</v>
      </c>
    </row>
    <row r="214" spans="1:7" x14ac:dyDescent="0.35">
      <c r="A214" s="1">
        <v>1998.66666666737</v>
      </c>
      <c r="B214">
        <v>477.7</v>
      </c>
      <c r="C214">
        <v>114.7029131238989</v>
      </c>
      <c r="D214">
        <v>0.80973637207079896</v>
      </c>
      <c r="E214">
        <v>1.0159332378528534</v>
      </c>
      <c r="F214">
        <v>5.635043515874294E-3</v>
      </c>
      <c r="G214">
        <v>0.20606153883061551</v>
      </c>
    </row>
    <row r="215" spans="1:7" x14ac:dyDescent="0.35">
      <c r="A215" s="1">
        <v>1998.7500000007001</v>
      </c>
      <c r="B215">
        <v>499.5</v>
      </c>
      <c r="C215">
        <v>136.13307837345928</v>
      </c>
      <c r="D215">
        <v>0.96102097147162635</v>
      </c>
      <c r="E215">
        <v>1.0352674378225772</v>
      </c>
      <c r="F215">
        <v>2.5078218194884316E-2</v>
      </c>
      <c r="G215">
        <v>0.91705702321737392</v>
      </c>
    </row>
    <row r="216" spans="1:7" x14ac:dyDescent="0.35">
      <c r="A216" s="1">
        <v>1998.8333333340299</v>
      </c>
      <c r="B216">
        <v>521.29999999999995</v>
      </c>
      <c r="C216">
        <v>157.56324362301962</v>
      </c>
      <c r="D216">
        <v>1.1123055708724532</v>
      </c>
      <c r="E216">
        <v>1.0567161761777808</v>
      </c>
      <c r="F216">
        <v>4.6635931259374042E-2</v>
      </c>
      <c r="G216">
        <v>1.7053766724310608</v>
      </c>
    </row>
    <row r="217" spans="1:7" x14ac:dyDescent="0.35">
      <c r="A217" s="1">
        <v>1998.91666666736</v>
      </c>
      <c r="B217">
        <v>539.79999999999995</v>
      </c>
      <c r="C217">
        <v>175.69340887257817</v>
      </c>
      <c r="D217">
        <v>1.240294074689825</v>
      </c>
      <c r="E217">
        <v>1.0747646062509566</v>
      </c>
      <c r="F217">
        <v>6.4793336041836014E-2</v>
      </c>
      <c r="G217">
        <v>2.3693542903686224</v>
      </c>
    </row>
    <row r="218" spans="1:7" x14ac:dyDescent="0.35">
      <c r="A218" s="1">
        <v>1999.0000000006901</v>
      </c>
      <c r="B218">
        <v>534.20000000000005</v>
      </c>
      <c r="C218">
        <v>169.72357412213864</v>
      </c>
      <c r="D218">
        <v>1.198150486519038</v>
      </c>
      <c r="E218">
        <v>1.0632823676286174</v>
      </c>
      <c r="F218">
        <v>5.3420072128782969E-2</v>
      </c>
      <c r="G218">
        <v>1.9534582539230296</v>
      </c>
    </row>
    <row r="219" spans="1:7" x14ac:dyDescent="0.35">
      <c r="A219" s="1">
        <v>1999.0833333340199</v>
      </c>
      <c r="B219">
        <v>465.3</v>
      </c>
      <c r="C219">
        <v>100.45373937169899</v>
      </c>
      <c r="D219">
        <v>0.70914542852039553</v>
      </c>
      <c r="E219">
        <v>1.0153671865778646</v>
      </c>
      <c r="F219">
        <v>5.6138657873163744E-3</v>
      </c>
      <c r="G219">
        <v>0.2052871144054467</v>
      </c>
    </row>
    <row r="220" spans="1:7" x14ac:dyDescent="0.35">
      <c r="A220" s="1">
        <v>1999.16666666735</v>
      </c>
      <c r="B220">
        <v>463.5</v>
      </c>
      <c r="C220">
        <v>98.283904621257534</v>
      </c>
      <c r="D220">
        <v>0.69382764738507452</v>
      </c>
      <c r="E220">
        <v>0.98702466194955085</v>
      </c>
      <c r="F220">
        <v>-2.2619684131711226E-2</v>
      </c>
      <c r="G220">
        <v>-0.82715366916204658</v>
      </c>
    </row>
    <row r="221" spans="1:7" x14ac:dyDescent="0.35">
      <c r="A221" s="1">
        <v>1999.2500000006801</v>
      </c>
      <c r="B221">
        <v>471.8</v>
      </c>
      <c r="C221">
        <v>106.21406987081792</v>
      </c>
      <c r="D221">
        <v>0.74981003758090914</v>
      </c>
      <c r="E221">
        <v>0.98349463656532543</v>
      </c>
      <c r="F221">
        <v>-2.6040734806650478E-2</v>
      </c>
      <c r="G221">
        <v>-0.95225420556600837</v>
      </c>
    </row>
    <row r="222" spans="1:7" x14ac:dyDescent="0.35">
      <c r="A222" s="1">
        <v>1999.3333333340099</v>
      </c>
      <c r="B222">
        <v>513.1</v>
      </c>
      <c r="C222">
        <v>147.14423512037831</v>
      </c>
      <c r="D222">
        <v>1.0387533836111704</v>
      </c>
      <c r="E222">
        <v>0.99683746041154309</v>
      </c>
      <c r="F222">
        <v>-1.2588936251146654E-2</v>
      </c>
      <c r="G222">
        <v>-0.46035058448870636</v>
      </c>
    </row>
    <row r="223" spans="1:7" x14ac:dyDescent="0.35">
      <c r="A223" s="1">
        <v>1999.41666666734</v>
      </c>
      <c r="B223">
        <v>533.29999999999995</v>
      </c>
      <c r="C223">
        <v>166.9744003699368</v>
      </c>
      <c r="D223">
        <v>1.1787429063654666</v>
      </c>
      <c r="E223">
        <v>1.0122843185522115</v>
      </c>
      <c r="F223">
        <v>2.9668965988078888E-3</v>
      </c>
      <c r="G223">
        <v>0.10849308918012586</v>
      </c>
    </row>
    <row r="224" spans="1:7" x14ac:dyDescent="0.35">
      <c r="A224" s="1">
        <v>1999.5000000006701</v>
      </c>
      <c r="B224">
        <v>548.6</v>
      </c>
      <c r="C224">
        <v>181.90456561949543</v>
      </c>
      <c r="D224">
        <v>1.2841412568898036</v>
      </c>
      <c r="E224">
        <v>1.0318775126143742</v>
      </c>
      <c r="F224">
        <v>2.2669065370257258E-2</v>
      </c>
      <c r="G224">
        <v>0.82895943587446896</v>
      </c>
    </row>
    <row r="225" spans="1:7" x14ac:dyDescent="0.35">
      <c r="A225" s="1">
        <v>1999.5833333339999</v>
      </c>
      <c r="B225">
        <v>548.9</v>
      </c>
      <c r="C225">
        <v>181.83473086905576</v>
      </c>
      <c r="D225">
        <v>1.2836482638530495</v>
      </c>
      <c r="E225">
        <v>1.0394334417770925</v>
      </c>
      <c r="F225">
        <v>3.0333969242261283E-2</v>
      </c>
      <c r="G225">
        <v>1.10924864436143</v>
      </c>
    </row>
    <row r="226" spans="1:7" x14ac:dyDescent="0.35">
      <c r="A226" s="1">
        <v>1999.66666666733</v>
      </c>
      <c r="B226">
        <v>552.9</v>
      </c>
      <c r="C226">
        <v>185.46489611861614</v>
      </c>
      <c r="D226">
        <v>1.3092751355613679</v>
      </c>
      <c r="E226">
        <v>1.0428504771437039</v>
      </c>
      <c r="F226">
        <v>3.3859979318158873E-2</v>
      </c>
      <c r="G226">
        <v>1.2381873224967357</v>
      </c>
    </row>
    <row r="227" spans="1:7" x14ac:dyDescent="0.35">
      <c r="A227" s="1">
        <v>1999.7500000006601</v>
      </c>
      <c r="B227">
        <v>572.79999999999995</v>
      </c>
      <c r="C227">
        <v>204.99506136817467</v>
      </c>
      <c r="D227">
        <v>1.4471468314444424</v>
      </c>
      <c r="E227">
        <v>1.0473602280926966</v>
      </c>
      <c r="F227">
        <v>3.8478704976438127E-2</v>
      </c>
      <c r="G227">
        <v>1.407084282014512</v>
      </c>
    </row>
    <row r="228" spans="1:7" x14ac:dyDescent="0.35">
      <c r="A228" s="1">
        <v>1999.8333333339899</v>
      </c>
      <c r="B228">
        <v>620.9</v>
      </c>
      <c r="C228">
        <v>252.72522661773507</v>
      </c>
      <c r="D228">
        <v>1.7840942532224038</v>
      </c>
      <c r="E228">
        <v>1.0525251096590618</v>
      </c>
      <c r="F228">
        <v>4.3752561252089039E-2</v>
      </c>
      <c r="G228">
        <v>1.5999379727927243</v>
      </c>
    </row>
    <row r="229" spans="1:7" x14ac:dyDescent="0.35">
      <c r="A229" s="1">
        <v>1999.91666666732</v>
      </c>
      <c r="B229">
        <v>628.70000000000005</v>
      </c>
      <c r="C229">
        <v>260.15539186729552</v>
      </c>
      <c r="D229">
        <v>1.836546931966202</v>
      </c>
      <c r="E229">
        <v>1.0629757904292361</v>
      </c>
      <c r="F229">
        <v>5.4312216731549956E-2</v>
      </c>
      <c r="G229">
        <v>1.9860820817936971</v>
      </c>
    </row>
    <row r="230" spans="1:7" x14ac:dyDescent="0.35">
      <c r="A230" s="1">
        <v>2000.0000000006601</v>
      </c>
      <c r="B230">
        <v>592</v>
      </c>
      <c r="C230">
        <v>223.08555711681038</v>
      </c>
      <c r="D230">
        <v>1.5748552914784062</v>
      </c>
      <c r="E230">
        <v>1.0439525090012853</v>
      </c>
      <c r="F230">
        <v>3.539791001289827E-2</v>
      </c>
      <c r="G230">
        <v>1.2944261722376658</v>
      </c>
    </row>
    <row r="231" spans="1:7" x14ac:dyDescent="0.35">
      <c r="A231" s="1">
        <v>2000.0833333339899</v>
      </c>
      <c r="B231">
        <v>477</v>
      </c>
      <c r="C231">
        <v>107.71572236637076</v>
      </c>
      <c r="D231">
        <v>0.76041083760197392</v>
      </c>
      <c r="E231">
        <v>1.0079153006907324</v>
      </c>
      <c r="F231">
        <v>-5.3032358836846427E-4</v>
      </c>
      <c r="G231">
        <v>-1.9392804046607499E-2</v>
      </c>
    </row>
    <row r="232" spans="1:7" x14ac:dyDescent="0.35">
      <c r="A232" s="1">
        <v>2000.16666666732</v>
      </c>
      <c r="B232">
        <v>395.6</v>
      </c>
      <c r="C232">
        <v>25.945887615929337</v>
      </c>
      <c r="D232">
        <v>0.1831629933023998</v>
      </c>
      <c r="E232">
        <v>0.96902341512139911</v>
      </c>
      <c r="F232">
        <v>-3.9313234448415613E-2</v>
      </c>
      <c r="G232">
        <v>-1.437601247271461</v>
      </c>
    </row>
    <row r="233" spans="1:7" x14ac:dyDescent="0.35">
      <c r="A233" s="1">
        <v>2000.2500000006501</v>
      </c>
      <c r="B233">
        <v>361.7</v>
      </c>
      <c r="C233">
        <v>-8.3239471345103198</v>
      </c>
      <c r="D233">
        <v>-5.876226305366903E-2</v>
      </c>
      <c r="E233">
        <v>0.96125608778402838</v>
      </c>
      <c r="F233">
        <v>-4.6971587076500176E-2</v>
      </c>
      <c r="G233">
        <v>-1.7176508907223234</v>
      </c>
    </row>
    <row r="234" spans="1:7" x14ac:dyDescent="0.35">
      <c r="A234" s="1">
        <v>2000.3333333339799</v>
      </c>
      <c r="B234">
        <v>421</v>
      </c>
      <c r="C234">
        <v>50.606218115050069</v>
      </c>
      <c r="D234">
        <v>0.35725069524991582</v>
      </c>
      <c r="E234">
        <v>0.96955746538823173</v>
      </c>
      <c r="F234">
        <v>-3.8561234763010654E-2</v>
      </c>
      <c r="G234">
        <v>-1.4101022205224809</v>
      </c>
    </row>
    <row r="235" spans="1:7" x14ac:dyDescent="0.35">
      <c r="A235" s="1">
        <v>2000.41666666731</v>
      </c>
      <c r="B235">
        <v>513.29999999999995</v>
      </c>
      <c r="C235">
        <v>142.53638336460858</v>
      </c>
      <c r="D235">
        <v>1.0062246093879141</v>
      </c>
      <c r="E235">
        <v>0.98105939444607981</v>
      </c>
      <c r="F235">
        <v>-2.6950330995876404E-2</v>
      </c>
      <c r="G235">
        <v>-0.98551620078190305</v>
      </c>
    </row>
    <row r="236" spans="1:7" x14ac:dyDescent="0.35">
      <c r="A236" s="1">
        <v>2000.5000000006401</v>
      </c>
      <c r="B236">
        <v>573.20000000000005</v>
      </c>
      <c r="C236">
        <v>202.06654861416905</v>
      </c>
      <c r="D236">
        <v>1.4264732214339435</v>
      </c>
      <c r="E236">
        <v>0.99469960270079161</v>
      </c>
      <c r="F236">
        <v>-1.3201148031877996E-2</v>
      </c>
      <c r="G236">
        <v>-0.48273786530958329</v>
      </c>
    </row>
    <row r="237" spans="1:7" x14ac:dyDescent="0.35">
      <c r="A237" s="1">
        <v>2000.5833333339699</v>
      </c>
      <c r="B237">
        <v>558.29999999999995</v>
      </c>
      <c r="C237">
        <v>186.79671386372934</v>
      </c>
      <c r="D237">
        <v>1.3186770002552715</v>
      </c>
      <c r="E237">
        <v>1.0122485154305261</v>
      </c>
      <c r="F237">
        <v>4.4567394071421962E-3</v>
      </c>
      <c r="G237">
        <v>0.16297346734158533</v>
      </c>
    </row>
    <row r="238" spans="1:7" x14ac:dyDescent="0.35">
      <c r="A238" s="1">
        <v>2000.6666666673</v>
      </c>
      <c r="B238">
        <v>525.9</v>
      </c>
      <c r="C238">
        <v>154.02687911328792</v>
      </c>
      <c r="D238">
        <v>1.0873408782553005</v>
      </c>
      <c r="E238">
        <v>1.0239740567631435</v>
      </c>
      <c r="F238">
        <v>1.629125544904575E-2</v>
      </c>
      <c r="G238">
        <v>0.59573651168021213</v>
      </c>
    </row>
    <row r="239" spans="1:7" x14ac:dyDescent="0.35">
      <c r="A239" s="1">
        <v>2000.7500000006301</v>
      </c>
      <c r="B239">
        <v>571.9</v>
      </c>
      <c r="C239">
        <v>199.6570443628483</v>
      </c>
      <c r="D239">
        <v>1.4094635119347074</v>
      </c>
      <c r="E239">
        <v>1.0306254131875621</v>
      </c>
      <c r="F239">
        <v>2.3051586582750971E-2</v>
      </c>
      <c r="G239">
        <v>0.84294742185182003</v>
      </c>
    </row>
    <row r="240" spans="1:7" x14ac:dyDescent="0.35">
      <c r="A240" s="1">
        <v>2000.8333333339599</v>
      </c>
      <c r="B240">
        <v>591.5</v>
      </c>
      <c r="C240">
        <v>218.8872096124087</v>
      </c>
      <c r="D240">
        <v>1.545217380946573</v>
      </c>
      <c r="E240">
        <v>1.0349160776751887</v>
      </c>
      <c r="F240">
        <v>2.7451225779663302E-2</v>
      </c>
      <c r="G240">
        <v>1.0038328561277685</v>
      </c>
    </row>
    <row r="241" spans="1:7" x14ac:dyDescent="0.35">
      <c r="A241" s="1">
        <v>2000.91666666729</v>
      </c>
      <c r="B241">
        <v>559.9</v>
      </c>
      <c r="C241">
        <v>186.91737486196723</v>
      </c>
      <c r="D241">
        <v>1.3195287972698604</v>
      </c>
      <c r="E241">
        <v>1.0382155202685184</v>
      </c>
      <c r="F241">
        <v>3.085964308227962E-2</v>
      </c>
      <c r="G241">
        <v>1.1284714170147443</v>
      </c>
    </row>
    <row r="242" spans="1:7" x14ac:dyDescent="0.35">
      <c r="A242" s="1">
        <v>2001.00000000062</v>
      </c>
      <c r="B242">
        <v>350.9</v>
      </c>
      <c r="C242">
        <v>-22.45245988847239</v>
      </c>
      <c r="D242">
        <v>-0.15850140958948392</v>
      </c>
      <c r="E242">
        <v>1.0236901699899388</v>
      </c>
      <c r="F242">
        <v>1.6443267512986193E-2</v>
      </c>
      <c r="G242">
        <v>0.60129526907545605</v>
      </c>
    </row>
    <row r="243" spans="1:7" x14ac:dyDescent="0.35">
      <c r="A243" s="1">
        <v>2001.0833333339499</v>
      </c>
      <c r="B243">
        <v>187.5</v>
      </c>
      <c r="C243">
        <v>-186.22229463891199</v>
      </c>
      <c r="D243">
        <v>-1.314621932023075</v>
      </c>
      <c r="E243">
        <v>0.99330494698970773</v>
      </c>
      <c r="F243">
        <v>-1.3832980777959136E-2</v>
      </c>
      <c r="G243">
        <v>-0.50584264304098658</v>
      </c>
    </row>
    <row r="244" spans="1:7" x14ac:dyDescent="0.35">
      <c r="A244" s="1">
        <v>2001.16666666728</v>
      </c>
      <c r="B244">
        <v>182.7</v>
      </c>
      <c r="C244">
        <v>-191.39212938935344</v>
      </c>
      <c r="D244">
        <v>-1.3511179818706167</v>
      </c>
      <c r="E244">
        <v>0.96921925286718391</v>
      </c>
      <c r="F244">
        <v>-3.7809700191196338E-2</v>
      </c>
      <c r="G244">
        <v>-1.3826202019868268</v>
      </c>
    </row>
    <row r="245" spans="1:7" x14ac:dyDescent="0.35">
      <c r="A245" s="1">
        <v>2001.25000000061</v>
      </c>
      <c r="B245">
        <v>183.9</v>
      </c>
      <c r="C245">
        <v>-190.56196413979305</v>
      </c>
      <c r="D245">
        <v>-1.3452574942937041</v>
      </c>
      <c r="E245">
        <v>0.96381724273250569</v>
      </c>
      <c r="F245">
        <v>-4.3102735616588395E-2</v>
      </c>
      <c r="G245">
        <v>-1.5761752334198167</v>
      </c>
    </row>
    <row r="246" spans="1:7" x14ac:dyDescent="0.35">
      <c r="A246" s="1">
        <v>2001.3333333339399</v>
      </c>
      <c r="B246">
        <v>223</v>
      </c>
      <c r="C246">
        <v>-151.83179889023268</v>
      </c>
      <c r="D246">
        <v>-1.0718448786524049</v>
      </c>
      <c r="E246">
        <v>0.97014751804202981</v>
      </c>
      <c r="F246">
        <v>-3.66634855977781E-2</v>
      </c>
      <c r="G246">
        <v>-1.3407055757227138</v>
      </c>
    </row>
    <row r="247" spans="1:7" x14ac:dyDescent="0.35">
      <c r="A247" s="1">
        <v>2001.41666666727</v>
      </c>
      <c r="B247">
        <v>312</v>
      </c>
      <c r="C247">
        <v>-63.201633640674117</v>
      </c>
      <c r="D247">
        <v>-0.4461670600978489</v>
      </c>
      <c r="E247">
        <v>0.9778507184105707</v>
      </c>
      <c r="F247">
        <v>-2.8851310519951046E-2</v>
      </c>
      <c r="G247">
        <v>-1.0550309729239171</v>
      </c>
    </row>
    <row r="248" spans="1:7" x14ac:dyDescent="0.35">
      <c r="A248" s="1">
        <v>2001.5000000006</v>
      </c>
      <c r="B248">
        <v>291.10000000000002</v>
      </c>
      <c r="C248">
        <v>-84.471468391113717</v>
      </c>
      <c r="D248">
        <v>-0.5963198187009614</v>
      </c>
      <c r="E248">
        <v>0.98940945573589789</v>
      </c>
      <c r="F248">
        <v>-1.7183598485337681E-2</v>
      </c>
      <c r="G248">
        <v>-0.62836759584225188</v>
      </c>
    </row>
    <row r="249" spans="1:7" x14ac:dyDescent="0.35">
      <c r="A249" s="1">
        <v>2001.5833333339301</v>
      </c>
      <c r="B249">
        <v>260.3</v>
      </c>
      <c r="C249">
        <v>-115.64130314155517</v>
      </c>
      <c r="D249">
        <v>-0.81636086405441488</v>
      </c>
      <c r="E249">
        <v>0.99937786404403783</v>
      </c>
      <c r="F249">
        <v>-7.1062154679115697E-3</v>
      </c>
      <c r="G249">
        <v>-0.25985916354591732</v>
      </c>
    </row>
    <row r="250" spans="1:7" x14ac:dyDescent="0.35">
      <c r="A250" s="1">
        <v>2001.66666666726</v>
      </c>
      <c r="B250">
        <v>274.10000000000002</v>
      </c>
      <c r="C250">
        <v>-102.21113789199478</v>
      </c>
      <c r="D250">
        <v>-0.72155164788617587</v>
      </c>
      <c r="E250">
        <v>1.0076721854517352</v>
      </c>
      <c r="F250">
        <v>1.2970806490719688E-3</v>
      </c>
      <c r="G250">
        <v>4.7431476577277233E-2</v>
      </c>
    </row>
    <row r="251" spans="1:7" x14ac:dyDescent="0.35">
      <c r="A251" s="1">
        <v>2001.75000000059</v>
      </c>
      <c r="B251">
        <v>330.4</v>
      </c>
      <c r="C251">
        <v>-46.280972642434449</v>
      </c>
      <c r="D251">
        <v>-0.32671695829481201</v>
      </c>
      <c r="E251">
        <v>1.0182897540242137</v>
      </c>
      <c r="F251">
        <v>1.2023623930836669E-2</v>
      </c>
      <c r="G251">
        <v>0.43967831704037685</v>
      </c>
    </row>
    <row r="252" spans="1:7" x14ac:dyDescent="0.35">
      <c r="A252" s="1">
        <v>2001.8333333339201</v>
      </c>
      <c r="B252">
        <v>390.3</v>
      </c>
      <c r="C252">
        <v>13.249192607124144</v>
      </c>
      <c r="D252">
        <v>9.3531653751204299E-2</v>
      </c>
      <c r="E252">
        <v>1.0246593844789604</v>
      </c>
      <c r="F252">
        <v>1.8502229094869982E-2</v>
      </c>
      <c r="G252">
        <v>0.67658710857250925</v>
      </c>
    </row>
    <row r="253" spans="1:7" x14ac:dyDescent="0.35">
      <c r="A253" s="1">
        <v>2001.91666666725</v>
      </c>
      <c r="B253">
        <v>432</v>
      </c>
      <c r="C253">
        <v>54.57935785668451</v>
      </c>
      <c r="D253">
        <v>0.38529876894309478</v>
      </c>
      <c r="E253">
        <v>1.0300452994045979</v>
      </c>
      <c r="F253">
        <v>2.3997118729793154E-2</v>
      </c>
      <c r="G253">
        <v>0.87752351850208876</v>
      </c>
    </row>
    <row r="254" spans="1:7" x14ac:dyDescent="0.35">
      <c r="A254" s="1">
        <v>2002.00000000058</v>
      </c>
      <c r="B254">
        <v>393.2</v>
      </c>
      <c r="C254">
        <v>15.409523106244876</v>
      </c>
      <c r="D254">
        <v>0.10878234035706581</v>
      </c>
      <c r="E254">
        <v>1.0224363749547745</v>
      </c>
      <c r="F254">
        <v>1.6497168989255906E-2</v>
      </c>
      <c r="G254">
        <v>0.60326633125343043</v>
      </c>
    </row>
    <row r="255" spans="1:7" x14ac:dyDescent="0.35">
      <c r="A255" s="1">
        <v>2002.0833333339101</v>
      </c>
      <c r="B255">
        <v>222.4</v>
      </c>
      <c r="C255">
        <v>-155.76031164419655</v>
      </c>
      <c r="D255">
        <v>-1.0995779115666824</v>
      </c>
      <c r="E255">
        <v>0.9990378794925685</v>
      </c>
      <c r="F255">
        <v>-6.7923517636634401E-3</v>
      </c>
      <c r="G255">
        <v>-0.24838183640580627</v>
      </c>
    </row>
    <row r="256" spans="1:7" x14ac:dyDescent="0.35">
      <c r="A256" s="1">
        <v>2002.16666666724</v>
      </c>
      <c r="B256">
        <v>202.3</v>
      </c>
      <c r="C256">
        <v>-176.23014639463617</v>
      </c>
      <c r="D256">
        <v>-1.2440831318465362</v>
      </c>
      <c r="E256">
        <v>0.98103772094927788</v>
      </c>
      <c r="F256">
        <v>-2.4683535597668338E-2</v>
      </c>
      <c r="G256">
        <v>-0.90262432130429304</v>
      </c>
    </row>
    <row r="257" spans="1:7" x14ac:dyDescent="0.35">
      <c r="A257" s="1">
        <v>2002.25000000057</v>
      </c>
      <c r="B257">
        <v>300.2</v>
      </c>
      <c r="C257">
        <v>-78.69998114507581</v>
      </c>
      <c r="D257">
        <v>-0.55557644944571305</v>
      </c>
      <c r="E257">
        <v>0.97056122711564352</v>
      </c>
      <c r="F257">
        <v>-3.5051054722016084E-2</v>
      </c>
      <c r="G257">
        <v>-1.2817424130458792</v>
      </c>
    </row>
    <row r="258" spans="1:7" x14ac:dyDescent="0.35">
      <c r="A258" s="1">
        <v>2002.3333333339001</v>
      </c>
      <c r="B258">
        <v>400.9</v>
      </c>
      <c r="C258">
        <v>21.630184104482737</v>
      </c>
      <c r="D258">
        <v>0.15269661708650309</v>
      </c>
      <c r="E258">
        <v>0.97597515000815649</v>
      </c>
      <c r="F258">
        <v>-2.9528157120216947E-2</v>
      </c>
      <c r="G258">
        <v>-1.0797818114241289</v>
      </c>
    </row>
    <row r="259" spans="1:7" x14ac:dyDescent="0.35">
      <c r="A259" s="1">
        <v>2002.4166666672299</v>
      </c>
      <c r="B259">
        <v>445</v>
      </c>
      <c r="C259">
        <v>65.360349354043137</v>
      </c>
      <c r="D259">
        <v>0.46140634724817031</v>
      </c>
      <c r="E259">
        <v>0.98298415364577241</v>
      </c>
      <c r="F259">
        <v>-2.2410178773315304E-2</v>
      </c>
      <c r="G259">
        <v>-0.81949250444828525</v>
      </c>
    </row>
    <row r="260" spans="1:7" x14ac:dyDescent="0.35">
      <c r="A260" s="1">
        <v>2002.50000000056</v>
      </c>
      <c r="B260">
        <v>432.6</v>
      </c>
      <c r="C260">
        <v>52.590514603603538</v>
      </c>
      <c r="D260">
        <v>0.37125868332968287</v>
      </c>
      <c r="E260">
        <v>0.98990943391601594</v>
      </c>
      <c r="F260">
        <v>-1.5375923793785162E-2</v>
      </c>
      <c r="G260">
        <v>-0.56226478268789781</v>
      </c>
    </row>
    <row r="261" spans="1:7" x14ac:dyDescent="0.35">
      <c r="A261" s="1">
        <v>2002.5833333338901</v>
      </c>
      <c r="B261">
        <v>339.4</v>
      </c>
      <c r="C261">
        <v>-40.979320146837949</v>
      </c>
      <c r="D261">
        <v>-0.28929035123795949</v>
      </c>
      <c r="E261">
        <v>1.0038215141931199</v>
      </c>
      <c r="F261">
        <v>-1.3548688073949933E-3</v>
      </c>
      <c r="G261">
        <v>-4.9544666439400774E-2</v>
      </c>
    </row>
    <row r="262" spans="1:7" x14ac:dyDescent="0.35">
      <c r="A262" s="1">
        <v>2002.6666666672199</v>
      </c>
      <c r="B262">
        <v>349</v>
      </c>
      <c r="C262">
        <v>-31.749154897277549</v>
      </c>
      <c r="D262">
        <v>-0.22413071126682918</v>
      </c>
      <c r="E262">
        <v>1.0179944499235338</v>
      </c>
      <c r="F262">
        <v>1.292704163230507E-2</v>
      </c>
      <c r="G262">
        <v>0.47271437811905059</v>
      </c>
    </row>
    <row r="263" spans="1:7" x14ac:dyDescent="0.35">
      <c r="A263" s="1">
        <v>2002.75000000055</v>
      </c>
      <c r="B263">
        <v>393.5</v>
      </c>
      <c r="C263">
        <v>12.381010352282829</v>
      </c>
      <c r="D263">
        <v>8.7402788056467312E-2</v>
      </c>
      <c r="E263">
        <v>1.0272563624892221</v>
      </c>
      <c r="F263">
        <v>2.2297928907279552E-2</v>
      </c>
      <c r="G263">
        <v>0.81538776593759954</v>
      </c>
    </row>
    <row r="264" spans="1:7" x14ac:dyDescent="0.35">
      <c r="A264" s="1">
        <v>2002.8333333338801</v>
      </c>
      <c r="B264">
        <v>465.5</v>
      </c>
      <c r="C264">
        <v>84.011175601841387</v>
      </c>
      <c r="D264">
        <v>0.59307041724177312</v>
      </c>
      <c r="E264">
        <v>1.0326263090388026</v>
      </c>
      <c r="F264">
        <v>2.7776850166146172E-2</v>
      </c>
      <c r="G264">
        <v>1.0157402463671548</v>
      </c>
    </row>
    <row r="265" spans="1:7" x14ac:dyDescent="0.35">
      <c r="A265" s="1">
        <v>2002.9166666672099</v>
      </c>
      <c r="B265">
        <v>394.7</v>
      </c>
      <c r="C265">
        <v>12.841340851401753</v>
      </c>
      <c r="D265">
        <v>9.065245572539106E-2</v>
      </c>
      <c r="E265">
        <v>1.0340656514122621</v>
      </c>
      <c r="F265">
        <v>2.9325167248891892E-2</v>
      </c>
      <c r="G265">
        <v>1.07235890419465</v>
      </c>
    </row>
    <row r="266" spans="1:7" x14ac:dyDescent="0.35">
      <c r="A266" s="1">
        <v>2003.00000000054</v>
      </c>
      <c r="B266">
        <v>243.8</v>
      </c>
      <c r="C266">
        <v>-138.42849389903785</v>
      </c>
      <c r="D266">
        <v>-0.97722528040728085</v>
      </c>
      <c r="E266">
        <v>1.0215095379161421</v>
      </c>
      <c r="F266">
        <v>1.6878028462057992E-2</v>
      </c>
      <c r="G266">
        <v>0.61719355094973527</v>
      </c>
    </row>
    <row r="267" spans="1:7" x14ac:dyDescent="0.35">
      <c r="A267" s="1">
        <v>2003.0833333338701</v>
      </c>
      <c r="B267">
        <v>175.8</v>
      </c>
      <c r="C267">
        <v>-206.79832864947929</v>
      </c>
      <c r="D267">
        <v>-1.4598768577922698</v>
      </c>
      <c r="E267">
        <v>0.98899578045880299</v>
      </c>
      <c r="F267">
        <v>-1.5526754285994926E-2</v>
      </c>
      <c r="G267">
        <v>-0.56778033252167803</v>
      </c>
    </row>
    <row r="268" spans="1:7" x14ac:dyDescent="0.35">
      <c r="A268" s="1">
        <v>2003.1666666671999</v>
      </c>
      <c r="B268">
        <v>173</v>
      </c>
      <c r="C268">
        <v>-209.96816339991892</v>
      </c>
      <c r="D268">
        <v>-1.4822540618316515</v>
      </c>
      <c r="E268">
        <v>0.9692350639502092</v>
      </c>
      <c r="F268">
        <v>-3.5178496085302546E-2</v>
      </c>
      <c r="G268">
        <v>-1.286402672253373</v>
      </c>
    </row>
    <row r="269" spans="1:7" x14ac:dyDescent="0.35">
      <c r="A269" s="1">
        <v>2003.25000000053</v>
      </c>
      <c r="B269" s="2">
        <v>248.7</v>
      </c>
      <c r="C269">
        <v>-134.63799815035856</v>
      </c>
      <c r="D269">
        <v>-0.95046656790126094</v>
      </c>
      <c r="E269">
        <v>0.96597843346481072</v>
      </c>
      <c r="F269">
        <v>-3.8326151861414859E-2</v>
      </c>
      <c r="G269">
        <v>-1.4015057395336235</v>
      </c>
    </row>
    <row r="270" spans="1:7" x14ac:dyDescent="0.35">
      <c r="A270" s="1">
        <v>2003.3333333338601</v>
      </c>
      <c r="B270">
        <v>324.39999999999998</v>
      </c>
      <c r="C270">
        <v>-59.307832900800008</v>
      </c>
      <c r="D270">
        <v>-0.41867907397088311</v>
      </c>
      <c r="E270">
        <v>0.97060826797010469</v>
      </c>
      <c r="F270">
        <v>-3.3587342646834717E-2</v>
      </c>
      <c r="G270">
        <v>-1.2282175801378146</v>
      </c>
    </row>
    <row r="271" spans="1:7" x14ac:dyDescent="0.35">
      <c r="A271" s="1">
        <v>2003.4166666671899</v>
      </c>
      <c r="B271">
        <v>392.4</v>
      </c>
      <c r="C271">
        <v>8.3223323487603693</v>
      </c>
      <c r="D271">
        <v>5.8750863598141426E-2</v>
      </c>
      <c r="E271">
        <v>0.9825734831172831</v>
      </c>
      <c r="F271">
        <v>-2.1513152790370138E-2</v>
      </c>
      <c r="G271">
        <v>-0.78669017490175674</v>
      </c>
    </row>
    <row r="272" spans="1:7" x14ac:dyDescent="0.35">
      <c r="A272" s="1">
        <v>2003.50000000052</v>
      </c>
      <c r="B272">
        <v>449.4</v>
      </c>
      <c r="C272">
        <v>64.952497598320747</v>
      </c>
      <c r="D272">
        <v>0.45852714922235704</v>
      </c>
      <c r="E272">
        <v>0.99571950318664881</v>
      </c>
      <c r="F272">
        <v>-8.2581580117182529E-3</v>
      </c>
      <c r="G272">
        <v>-0.30198324875530086</v>
      </c>
    </row>
    <row r="273" spans="1:7" x14ac:dyDescent="0.35">
      <c r="A273" s="1">
        <v>2003.5833333338501</v>
      </c>
      <c r="B273">
        <v>443.4</v>
      </c>
      <c r="C273">
        <v>58.582662847879305</v>
      </c>
      <c r="D273">
        <v>0.41355979188992725</v>
      </c>
      <c r="E273">
        <v>1.0146669957459042</v>
      </c>
      <c r="F273">
        <v>1.079830925682379E-2</v>
      </c>
      <c r="G273">
        <v>0.3948711693107167</v>
      </c>
    </row>
    <row r="274" spans="1:7" x14ac:dyDescent="0.35">
      <c r="A274" s="1">
        <v>2003.6666666671799</v>
      </c>
      <c r="B274">
        <v>400.8</v>
      </c>
      <c r="C274">
        <v>15.612828097439717</v>
      </c>
      <c r="D274">
        <v>0.11021755626841914</v>
      </c>
      <c r="E274">
        <v>1.0299744921305485</v>
      </c>
      <c r="F274">
        <v>2.6214780350753752E-2</v>
      </c>
      <c r="G274">
        <v>0.95861868039985176</v>
      </c>
    </row>
    <row r="275" spans="1:7" x14ac:dyDescent="0.35">
      <c r="A275" s="1">
        <v>2003.75000000051</v>
      </c>
      <c r="B275">
        <v>467.7</v>
      </c>
      <c r="C275">
        <v>82.142993347000072</v>
      </c>
      <c r="D275">
        <v>0.57988212864296262</v>
      </c>
      <c r="E275">
        <v>1.0411184517604177</v>
      </c>
      <c r="F275">
        <v>3.7467714689909171E-2</v>
      </c>
      <c r="G275">
        <v>1.3701145206279131</v>
      </c>
    </row>
    <row r="276" spans="1:7" x14ac:dyDescent="0.35">
      <c r="A276" s="1">
        <v>2003.8333333338401</v>
      </c>
      <c r="B276">
        <v>518</v>
      </c>
      <c r="C276">
        <v>132.07315859655864</v>
      </c>
      <c r="D276">
        <v>0.93236028080987288</v>
      </c>
      <c r="E276">
        <v>1.0438244105935528</v>
      </c>
      <c r="F276">
        <v>4.0282648232330853E-2</v>
      </c>
      <c r="G276">
        <v>1.4730506445146805</v>
      </c>
    </row>
    <row r="277" spans="1:7" x14ac:dyDescent="0.35">
      <c r="A277" s="1">
        <v>2003.9166666671699</v>
      </c>
      <c r="B277">
        <v>566.4</v>
      </c>
      <c r="C277">
        <v>180.103323846119</v>
      </c>
      <c r="D277">
        <v>1.271425529459056</v>
      </c>
      <c r="E277">
        <v>1.0501552587982892</v>
      </c>
      <c r="F277">
        <v>4.6722471146352973E-2</v>
      </c>
      <c r="G277">
        <v>1.708541251769423</v>
      </c>
    </row>
    <row r="278" spans="1:7" x14ac:dyDescent="0.35">
      <c r="A278" s="1">
        <v>2004.0000000005</v>
      </c>
      <c r="B278">
        <v>474.6</v>
      </c>
      <c r="C278">
        <v>87.93348909567942</v>
      </c>
      <c r="D278">
        <v>0.62075968695713002</v>
      </c>
      <c r="E278">
        <v>1.0393769869656424</v>
      </c>
      <c r="F278">
        <v>3.6053174022992795E-2</v>
      </c>
      <c r="G278">
        <v>1.3183877813858529</v>
      </c>
    </row>
    <row r="279" spans="1:7" x14ac:dyDescent="0.35">
      <c r="A279" s="1">
        <v>2004.0833333338301</v>
      </c>
      <c r="B279">
        <v>220.1</v>
      </c>
      <c r="C279">
        <v>-166.93634565476205</v>
      </c>
      <c r="D279">
        <v>-1.1784742620375732</v>
      </c>
      <c r="E279">
        <v>0.99531632588527197</v>
      </c>
      <c r="F279">
        <v>-7.8985123480914687E-3</v>
      </c>
      <c r="G279">
        <v>-0.28883177287549139</v>
      </c>
    </row>
    <row r="280" spans="1:7" x14ac:dyDescent="0.35">
      <c r="A280" s="1">
        <v>2004.1666666671599</v>
      </c>
      <c r="B280">
        <v>125.6</v>
      </c>
      <c r="C280">
        <v>-261.80618040520164</v>
      </c>
      <c r="D280">
        <v>-1.8482005463804978</v>
      </c>
      <c r="E280">
        <v>0.97220695237072385</v>
      </c>
      <c r="F280">
        <v>-3.0898911153353414E-2</v>
      </c>
      <c r="G280">
        <v>-1.1299073667336279</v>
      </c>
    </row>
    <row r="281" spans="1:7" x14ac:dyDescent="0.35">
      <c r="A281" s="1">
        <v>2004.25000000049</v>
      </c>
      <c r="B281">
        <v>159.30000000000001</v>
      </c>
      <c r="C281">
        <v>-228.4760151556431</v>
      </c>
      <c r="D281">
        <v>-1.6129088144212085</v>
      </c>
      <c r="E281">
        <v>0.96996491606069102</v>
      </c>
      <c r="F281">
        <v>-3.3031972754100081E-2</v>
      </c>
      <c r="G281">
        <v>-1.2079088860887424</v>
      </c>
    </row>
    <row r="282" spans="1:7" x14ac:dyDescent="0.35">
      <c r="A282" s="1">
        <v>2004.3333333338201</v>
      </c>
      <c r="B282">
        <v>349.9</v>
      </c>
      <c r="C282">
        <v>-38.245849906082753</v>
      </c>
      <c r="D282">
        <v>-0.26999362881276884</v>
      </c>
      <c r="E282">
        <v>0.97446757164262554</v>
      </c>
      <c r="F282">
        <v>-2.8420342462879389E-2</v>
      </c>
      <c r="G282">
        <v>-1.039271389031289</v>
      </c>
    </row>
    <row r="283" spans="1:7" x14ac:dyDescent="0.35">
      <c r="A283" s="1">
        <v>2004.4166666671499</v>
      </c>
      <c r="B283">
        <v>431.1</v>
      </c>
      <c r="C283">
        <v>42.58431534347767</v>
      </c>
      <c r="D283">
        <v>0.30062069109002665</v>
      </c>
      <c r="E283">
        <v>0.98027010791108671</v>
      </c>
      <c r="F283">
        <v>-2.2508831485132053E-2</v>
      </c>
      <c r="G283">
        <v>-0.82310002399085969</v>
      </c>
    </row>
    <row r="284" spans="1:7" x14ac:dyDescent="0.35">
      <c r="A284" s="1">
        <v>2004.50000000048</v>
      </c>
      <c r="B284">
        <v>380</v>
      </c>
      <c r="C284">
        <v>-8.8855194069637946</v>
      </c>
      <c r="D284">
        <v>-6.272663921611972E-2</v>
      </c>
      <c r="E284">
        <v>0.99299629782758381</v>
      </c>
      <c r="F284">
        <v>-9.673666859348784E-3</v>
      </c>
      <c r="G284">
        <v>-0.35374539230386953</v>
      </c>
    </row>
    <row r="285" spans="1:7" x14ac:dyDescent="0.35">
      <c r="A285" s="1">
        <v>2004.5833333338101</v>
      </c>
      <c r="B285">
        <v>381.1</v>
      </c>
      <c r="C285">
        <v>-8.1553541574033943</v>
      </c>
      <c r="D285">
        <v>-5.757209392961446E-2</v>
      </c>
      <c r="E285">
        <v>1.0106169552058697</v>
      </c>
      <c r="F285">
        <v>8.0559652282232719E-3</v>
      </c>
      <c r="G285">
        <v>0.29458948932998441</v>
      </c>
    </row>
    <row r="286" spans="1:7" x14ac:dyDescent="0.35">
      <c r="A286" s="1">
        <v>2004.6666666671399</v>
      </c>
      <c r="B286">
        <v>401</v>
      </c>
      <c r="C286">
        <v>11.374811092156961</v>
      </c>
      <c r="D286">
        <v>8.0299601953472924E-2</v>
      </c>
      <c r="E286">
        <v>1.027557603310095</v>
      </c>
      <c r="F286">
        <v>2.5105588041734794E-2</v>
      </c>
      <c r="G286">
        <v>0.91805788021939716</v>
      </c>
    </row>
    <row r="287" spans="1:7" x14ac:dyDescent="0.35">
      <c r="A287" s="1">
        <v>2004.75000000047</v>
      </c>
      <c r="B287">
        <v>458.3</v>
      </c>
      <c r="C287">
        <v>68.30497634171553</v>
      </c>
      <c r="D287">
        <v>0.48219371444889786</v>
      </c>
      <c r="E287">
        <v>1.0387479248056615</v>
      </c>
      <c r="F287">
        <v>3.6404884246587388E-2</v>
      </c>
      <c r="G287">
        <v>1.3312490751260346</v>
      </c>
    </row>
    <row r="288" spans="1:7" x14ac:dyDescent="0.35">
      <c r="A288" s="1">
        <v>2004.8333333338001</v>
      </c>
      <c r="B288">
        <v>540.70000000000005</v>
      </c>
      <c r="C288">
        <v>150.33514159127594</v>
      </c>
      <c r="D288">
        <v>1.0612793418365816</v>
      </c>
      <c r="E288">
        <v>1.0427939626691503</v>
      </c>
      <c r="F288">
        <v>4.055989681936234E-2</v>
      </c>
      <c r="G288">
        <v>1.4831890348077432</v>
      </c>
    </row>
    <row r="289" spans="1:7" x14ac:dyDescent="0.35">
      <c r="A289" s="1">
        <v>2004.9166666671299</v>
      </c>
      <c r="B289">
        <v>527.70000000000005</v>
      </c>
      <c r="C289">
        <v>136.96530684083632</v>
      </c>
      <c r="D289">
        <v>0.96689602417564979</v>
      </c>
      <c r="E289">
        <v>1.0415393595283997</v>
      </c>
      <c r="F289">
        <v>3.9414268387897966E-2</v>
      </c>
      <c r="G289">
        <v>1.441295843237768</v>
      </c>
    </row>
    <row r="290" spans="1:7" x14ac:dyDescent="0.35">
      <c r="A290" s="1">
        <v>2005.00000000046</v>
      </c>
      <c r="B290">
        <v>432.7</v>
      </c>
      <c r="C290">
        <v>41.595472090394821</v>
      </c>
      <c r="D290">
        <v>0.29364002838067499</v>
      </c>
      <c r="E290">
        <v>1.0335170250614123</v>
      </c>
      <c r="F290">
        <v>3.1500908630196722E-2</v>
      </c>
      <c r="G290">
        <v>1.1519211322175844</v>
      </c>
    </row>
    <row r="291" spans="1:7" x14ac:dyDescent="0.35">
      <c r="A291" s="1">
        <v>2005.0833333337901</v>
      </c>
      <c r="B291">
        <v>291.2</v>
      </c>
      <c r="C291">
        <v>-100.2743626600448</v>
      </c>
      <c r="D291">
        <v>-0.70787913245370582</v>
      </c>
      <c r="E291">
        <v>1.0038316072289586</v>
      </c>
      <c r="F291">
        <v>1.9244655070291827E-3</v>
      </c>
      <c r="G291">
        <v>7.0373604513913099E-2</v>
      </c>
    </row>
    <row r="292" spans="1:7" x14ac:dyDescent="0.35">
      <c r="A292" s="1">
        <v>2005.1666666671199</v>
      </c>
      <c r="B292">
        <v>219.8</v>
      </c>
      <c r="C292">
        <v>-172.0441974104844</v>
      </c>
      <c r="D292">
        <v>-1.2145327477125318</v>
      </c>
      <c r="E292">
        <v>0.97585546735262796</v>
      </c>
      <c r="F292">
        <v>-2.5942699660015278E-2</v>
      </c>
      <c r="G292">
        <v>-0.94866926906672011</v>
      </c>
    </row>
    <row r="293" spans="1:7" x14ac:dyDescent="0.35">
      <c r="A293" s="1">
        <v>2005.25000000045</v>
      </c>
      <c r="B293">
        <v>255.8</v>
      </c>
      <c r="C293">
        <v>-136.41403216092584</v>
      </c>
      <c r="D293">
        <v>-0.96300434307387317</v>
      </c>
      <c r="E293">
        <v>0.97081539851681253</v>
      </c>
      <c r="F293">
        <v>-3.0873793786544534E-2</v>
      </c>
      <c r="G293">
        <v>-1.1289888781289825</v>
      </c>
    </row>
    <row r="294" spans="1:7" x14ac:dyDescent="0.35">
      <c r="A294" s="1">
        <v>2005.33333333378</v>
      </c>
      <c r="B294">
        <v>380.2</v>
      </c>
      <c r="C294">
        <v>-12.383866911365487</v>
      </c>
      <c r="D294">
        <v>-8.7422953715101517E-2</v>
      </c>
      <c r="E294">
        <v>0.97392818710598839</v>
      </c>
      <c r="F294">
        <v>-2.7652030488082069E-2</v>
      </c>
      <c r="G294">
        <v>-1.0111758566041236</v>
      </c>
    </row>
    <row r="295" spans="1:7" x14ac:dyDescent="0.35">
      <c r="A295" s="1">
        <v>2005.4166666671099</v>
      </c>
      <c r="B295">
        <v>463.6</v>
      </c>
      <c r="C295">
        <v>70.646298338194924</v>
      </c>
      <c r="D295">
        <v>0.49872209657665567</v>
      </c>
      <c r="E295">
        <v>0.9768810794367031</v>
      </c>
      <c r="F295">
        <v>-2.4590163448081626E-2</v>
      </c>
      <c r="G295">
        <v>-0.89920990067496509</v>
      </c>
    </row>
    <row r="296" spans="1:7" x14ac:dyDescent="0.35">
      <c r="A296" s="1">
        <v>2005.50000000044</v>
      </c>
      <c r="B296">
        <v>466.4</v>
      </c>
      <c r="C296">
        <v>73.076463587753437</v>
      </c>
      <c r="D296">
        <v>0.51587766080007258</v>
      </c>
      <c r="E296">
        <v>0.9823969718986908</v>
      </c>
      <c r="F296">
        <v>-1.896529627680732E-2</v>
      </c>
      <c r="G296">
        <v>-0.69352048909092134</v>
      </c>
    </row>
    <row r="297" spans="1:7" x14ac:dyDescent="0.35">
      <c r="A297" s="1">
        <v>2005.58333333377</v>
      </c>
      <c r="B297">
        <v>397.4</v>
      </c>
      <c r="C297">
        <v>3.706628837313815</v>
      </c>
      <c r="D297">
        <v>2.6166660511022979E-2</v>
      </c>
      <c r="E297">
        <v>0.99468243137808654</v>
      </c>
      <c r="F297">
        <v>-6.5708620881254065E-3</v>
      </c>
      <c r="G297">
        <v>-0.24028243074054542</v>
      </c>
    </row>
    <row r="298" spans="1:7" x14ac:dyDescent="0.35">
      <c r="A298" s="1">
        <v>2005.6666666670999</v>
      </c>
      <c r="B298">
        <v>389.9</v>
      </c>
      <c r="C298">
        <v>-4.1632059131258075</v>
      </c>
      <c r="D298">
        <v>-2.9389831177504315E-2</v>
      </c>
      <c r="E298">
        <v>1.0114232217951653</v>
      </c>
      <c r="F298">
        <v>1.0278903038239084E-2</v>
      </c>
      <c r="G298">
        <v>0.37587759022330552</v>
      </c>
    </row>
    <row r="299" spans="1:7" x14ac:dyDescent="0.35">
      <c r="A299" s="1">
        <v>2005.75000000043</v>
      </c>
      <c r="B299">
        <v>442.1</v>
      </c>
      <c r="C299">
        <v>47.666959336432797</v>
      </c>
      <c r="D299">
        <v>0.33650122450714587</v>
      </c>
      <c r="E299">
        <v>1.0286368935551229</v>
      </c>
      <c r="F299">
        <v>2.7601549507483281E-2</v>
      </c>
      <c r="G299">
        <v>1.0093298746672137</v>
      </c>
    </row>
    <row r="300" spans="1:7" x14ac:dyDescent="0.35">
      <c r="A300" s="1">
        <v>2005.83333333376</v>
      </c>
      <c r="B300">
        <v>519.70000000000005</v>
      </c>
      <c r="C300">
        <v>124.8971245859932</v>
      </c>
      <c r="D300">
        <v>0.88170162195527646</v>
      </c>
      <c r="E300">
        <v>1.0425107714035204</v>
      </c>
      <c r="F300">
        <v>4.1584402065167003E-2</v>
      </c>
      <c r="G300">
        <v>1.5206530094684261</v>
      </c>
    </row>
    <row r="301" spans="1:7" x14ac:dyDescent="0.35">
      <c r="A301" s="1">
        <v>2005.9166666670901</v>
      </c>
      <c r="B301">
        <v>562.79999999999995</v>
      </c>
      <c r="C301">
        <v>167.62728983555166</v>
      </c>
      <c r="D301">
        <v>1.1833519292128565</v>
      </c>
      <c r="E301">
        <v>1.0488516812696649</v>
      </c>
      <c r="F301">
        <v>4.8034286640597612E-2</v>
      </c>
      <c r="G301">
        <v>1.7565115502497128</v>
      </c>
    </row>
    <row r="302" spans="1:7" x14ac:dyDescent="0.35">
      <c r="A302" s="1">
        <v>2006.00000000042</v>
      </c>
      <c r="B302">
        <v>508.5</v>
      </c>
      <c r="C302">
        <v>112.95745508511209</v>
      </c>
      <c r="D302">
        <v>0.79741444561368813</v>
      </c>
      <c r="E302">
        <v>1.038298500588267</v>
      </c>
      <c r="F302">
        <v>3.7590080668485903E-2</v>
      </c>
      <c r="G302">
        <v>1.3745891838270534</v>
      </c>
    </row>
    <row r="303" spans="1:7" x14ac:dyDescent="0.35">
      <c r="A303" s="1">
        <v>2006.08333333375</v>
      </c>
      <c r="B303">
        <v>388.1</v>
      </c>
      <c r="C303">
        <v>-7.8123796653275122</v>
      </c>
      <c r="D303">
        <v>-5.5150891944740987E-2</v>
      </c>
      <c r="E303">
        <v>1.0030730444045188</v>
      </c>
      <c r="F303">
        <v>2.473599194023901E-3</v>
      </c>
      <c r="G303">
        <v>9.0454253802086645E-2</v>
      </c>
    </row>
    <row r="304" spans="1:7" x14ac:dyDescent="0.35">
      <c r="A304" s="1">
        <v>2006.1666666670801</v>
      </c>
      <c r="B304">
        <v>277.7</v>
      </c>
      <c r="C304">
        <v>-118.58221441576899</v>
      </c>
      <c r="D304">
        <v>-0.837122000462448</v>
      </c>
      <c r="E304">
        <v>0.97871835099338877</v>
      </c>
      <c r="F304">
        <v>-2.1772119507819987E-2</v>
      </c>
      <c r="G304">
        <v>-0.79616003616428377</v>
      </c>
    </row>
    <row r="305" spans="1:7" x14ac:dyDescent="0.35">
      <c r="A305" s="1">
        <v>2006.25000000041</v>
      </c>
      <c r="B305">
        <v>383.4</v>
      </c>
      <c r="C305">
        <v>-13.252049166208622</v>
      </c>
      <c r="D305">
        <v>-9.3551819409851342E-2</v>
      </c>
      <c r="E305">
        <v>0.97896811665158345</v>
      </c>
      <c r="F305">
        <v>-2.1413379140339139E-2</v>
      </c>
      <c r="G305">
        <v>-0.78304166503626615</v>
      </c>
    </row>
    <row r="306" spans="1:7" x14ac:dyDescent="0.35">
      <c r="A306" s="1">
        <v>2006.33333333374</v>
      </c>
      <c r="B306">
        <v>510.2</v>
      </c>
      <c r="C306">
        <v>113.17811608335177</v>
      </c>
      <c r="D306">
        <v>0.79897218491869704</v>
      </c>
      <c r="E306">
        <v>0.98604597731730981</v>
      </c>
      <c r="F306">
        <v>-1.4226543765326616E-2</v>
      </c>
      <c r="G306">
        <v>-0.52023440320668235</v>
      </c>
    </row>
    <row r="307" spans="1:7" x14ac:dyDescent="0.35">
      <c r="A307" s="1">
        <v>2006.4166666670701</v>
      </c>
      <c r="B307">
        <v>592.9</v>
      </c>
      <c r="C307">
        <v>195.50828133291031</v>
      </c>
      <c r="D307">
        <v>1.3801756391775897</v>
      </c>
      <c r="E307">
        <v>0.99250994485693256</v>
      </c>
      <c r="F307">
        <v>-7.6536015164176963E-3</v>
      </c>
      <c r="G307">
        <v>-0.27987590541700269</v>
      </c>
    </row>
    <row r="308" spans="1:7" x14ac:dyDescent="0.35">
      <c r="A308" s="1">
        <v>2006.5000000004</v>
      </c>
      <c r="B308">
        <v>579.9</v>
      </c>
      <c r="C308">
        <v>182.13844658247069</v>
      </c>
      <c r="D308">
        <v>1.2857923215166578</v>
      </c>
      <c r="E308">
        <v>1.004177539434886</v>
      </c>
      <c r="F308">
        <v>4.1229677708218837E-3</v>
      </c>
      <c r="G308">
        <v>0.15076814952914439</v>
      </c>
    </row>
    <row r="309" spans="1:7" x14ac:dyDescent="0.35">
      <c r="A309" s="1">
        <v>2006.58333333373</v>
      </c>
      <c r="B309">
        <v>484.6</v>
      </c>
      <c r="C309">
        <v>86.468611832031115</v>
      </c>
      <c r="D309">
        <v>0.61041849885047461</v>
      </c>
      <c r="E309">
        <v>1.0194369219543922</v>
      </c>
      <c r="F309">
        <v>1.9491324999614257E-2</v>
      </c>
      <c r="G309">
        <v>0.71275623905189556</v>
      </c>
    </row>
    <row r="310" spans="1:7" x14ac:dyDescent="0.35">
      <c r="A310" s="1">
        <v>2006.6666666670601</v>
      </c>
      <c r="B310">
        <v>474.7</v>
      </c>
      <c r="C310">
        <v>76.19877708158964</v>
      </c>
      <c r="D310">
        <v>0.53791939219215779</v>
      </c>
      <c r="E310">
        <v>1.0251153611330239</v>
      </c>
      <c r="F310">
        <v>2.5278738887532626E-2</v>
      </c>
      <c r="G310">
        <v>0.92438963784192718</v>
      </c>
    </row>
    <row r="311" spans="1:7" x14ac:dyDescent="0.35">
      <c r="A311" s="1">
        <v>2006.7500000003899</v>
      </c>
      <c r="B311">
        <v>472.9</v>
      </c>
      <c r="C311">
        <v>74.028942331150006</v>
      </c>
      <c r="D311">
        <v>0.52260161105684955</v>
      </c>
      <c r="E311">
        <v>1.0323642488823279</v>
      </c>
      <c r="F311">
        <v>3.263660134612234E-2</v>
      </c>
      <c r="G311">
        <v>1.1934509958332089</v>
      </c>
    </row>
    <row r="312" spans="1:7" x14ac:dyDescent="0.35">
      <c r="A312" s="1">
        <v>2006.83333333372</v>
      </c>
      <c r="B312">
        <v>527.4</v>
      </c>
      <c r="C312">
        <v>128.15910758071038</v>
      </c>
      <c r="D312">
        <v>0.9047293394208813</v>
      </c>
      <c r="E312">
        <v>1.0332663528957091</v>
      </c>
      <c r="F312">
        <v>3.3647680068790153E-2</v>
      </c>
      <c r="G312">
        <v>1.2304239911410384</v>
      </c>
    </row>
    <row r="313" spans="1:7" x14ac:dyDescent="0.35">
      <c r="A313" s="1">
        <v>2006.9166666670501</v>
      </c>
      <c r="B313">
        <v>588.6</v>
      </c>
      <c r="C313">
        <v>188.98927283026899</v>
      </c>
      <c r="D313">
        <v>1.3341552012421933</v>
      </c>
      <c r="E313">
        <v>1.0290324284871795</v>
      </c>
      <c r="F313">
        <v>2.9522730369546668E-2</v>
      </c>
      <c r="G313">
        <v>1.0795833667109767</v>
      </c>
    </row>
    <row r="314" spans="1:7" x14ac:dyDescent="0.35">
      <c r="A314" s="1">
        <v>2007.0000000003799</v>
      </c>
      <c r="B314">
        <v>540.29999999999995</v>
      </c>
      <c r="C314">
        <v>140.3194380798293</v>
      </c>
      <c r="D314">
        <v>0.99057425506746533</v>
      </c>
      <c r="E314">
        <v>1.0177828539072158</v>
      </c>
      <c r="F314">
        <v>1.8382130498868721E-2</v>
      </c>
      <c r="G314">
        <v>0.67219535872466829</v>
      </c>
    </row>
    <row r="315" spans="1:7" x14ac:dyDescent="0.35">
      <c r="A315" s="1">
        <v>2007.08333333371</v>
      </c>
      <c r="B315" s="2">
        <v>365.2</v>
      </c>
      <c r="C315">
        <v>-35.150396670610291</v>
      </c>
      <c r="D315">
        <v>-0.24814151534378601</v>
      </c>
      <c r="E315">
        <v>0.99541325654750445</v>
      </c>
      <c r="F315">
        <v>-3.8784921515560011E-3</v>
      </c>
      <c r="G315">
        <v>-0.14182819686144219</v>
      </c>
    </row>
    <row r="316" spans="1:7" x14ac:dyDescent="0.35">
      <c r="A316" s="1">
        <v>2007.1666666670401</v>
      </c>
      <c r="B316">
        <v>190.1</v>
      </c>
      <c r="C316">
        <v>-210.62023142105173</v>
      </c>
      <c r="D316">
        <v>-1.4868572857550504</v>
      </c>
      <c r="E316">
        <v>0.97721684690331312</v>
      </c>
      <c r="F316">
        <v>-2.1965927086461168E-2</v>
      </c>
      <c r="G316">
        <v>-0.80324716650841266</v>
      </c>
    </row>
    <row r="317" spans="1:7" x14ac:dyDescent="0.35">
      <c r="A317" s="1">
        <v>2007.2500000003699</v>
      </c>
      <c r="B317">
        <v>346.9</v>
      </c>
      <c r="C317">
        <v>-54.190066171491367</v>
      </c>
      <c r="D317">
        <v>-0.38255059430429622</v>
      </c>
      <c r="E317">
        <v>0.97078114240742019</v>
      </c>
      <c r="F317">
        <v>-2.8292656873067923E-2</v>
      </c>
      <c r="G317">
        <v>-1.0346021989799741</v>
      </c>
    </row>
    <row r="318" spans="1:7" x14ac:dyDescent="0.35">
      <c r="A318" s="1">
        <v>2007.3333333337</v>
      </c>
      <c r="B318">
        <v>478.1</v>
      </c>
      <c r="C318">
        <v>76.640099078069056</v>
      </c>
      <c r="D318">
        <v>0.54103487080217605</v>
      </c>
      <c r="E318">
        <v>0.97692304123306373</v>
      </c>
      <c r="F318">
        <v>-2.2041783338138221E-2</v>
      </c>
      <c r="G318">
        <v>-0.80602106805974294</v>
      </c>
    </row>
    <row r="319" spans="1:7" x14ac:dyDescent="0.35">
      <c r="A319" s="1">
        <v>2007.4166666670301</v>
      </c>
      <c r="B319">
        <v>581.79999999999995</v>
      </c>
      <c r="C319">
        <v>179.97026432762755</v>
      </c>
      <c r="D319">
        <v>1.2704862060466124</v>
      </c>
      <c r="E319">
        <v>0.98323048636597699</v>
      </c>
      <c r="F319">
        <v>-1.5625363495938793E-2</v>
      </c>
      <c r="G319">
        <v>-0.57138626129341941</v>
      </c>
    </row>
    <row r="320" spans="1:7" x14ac:dyDescent="0.35">
      <c r="A320" s="1">
        <v>2007.5000000003599</v>
      </c>
      <c r="B320">
        <v>601.1</v>
      </c>
      <c r="C320">
        <v>198.90042957718799</v>
      </c>
      <c r="D320">
        <v>1.4041222481872562</v>
      </c>
      <c r="E320">
        <v>0.99340635899553176</v>
      </c>
      <c r="F320">
        <v>-5.3405161570978521E-3</v>
      </c>
      <c r="G320">
        <v>-0.19529130065834871</v>
      </c>
    </row>
    <row r="321" spans="1:7" x14ac:dyDescent="0.35">
      <c r="A321" s="1">
        <v>2007.58333333369</v>
      </c>
      <c r="B321">
        <v>569.9</v>
      </c>
      <c r="C321">
        <v>167.33059482674832</v>
      </c>
      <c r="D321">
        <v>1.1812574336721859</v>
      </c>
      <c r="E321">
        <v>1.0066497886987269</v>
      </c>
      <c r="F321">
        <v>8.0118882553834592E-3</v>
      </c>
      <c r="G321">
        <v>0.29297768831641968</v>
      </c>
    </row>
    <row r="322" spans="1:7" x14ac:dyDescent="0.35">
      <c r="A322" s="1">
        <v>2007.6666666670201</v>
      </c>
      <c r="B322">
        <v>595.6</v>
      </c>
      <c r="C322">
        <v>192.66076007630693</v>
      </c>
      <c r="D322">
        <v>1.3600737823988873</v>
      </c>
      <c r="E322">
        <v>1.0280693105221228</v>
      </c>
      <c r="F322">
        <v>2.9540384788065532E-2</v>
      </c>
      <c r="G322">
        <v>1.0802289511926066</v>
      </c>
    </row>
    <row r="323" spans="1:7" x14ac:dyDescent="0.35">
      <c r="A323" s="1">
        <v>2007.7500000003499</v>
      </c>
      <c r="B323">
        <v>604.4</v>
      </c>
      <c r="C323">
        <v>201.09092532586726</v>
      </c>
      <c r="D323">
        <v>1.4195858840467583</v>
      </c>
      <c r="E323">
        <v>1.0464870390173293</v>
      </c>
      <c r="F323">
        <v>4.8067087992558211E-2</v>
      </c>
      <c r="G323">
        <v>1.7577110258246014</v>
      </c>
    </row>
    <row r="324" spans="1:7" x14ac:dyDescent="0.35">
      <c r="A324" s="1">
        <v>2007.83333333368</v>
      </c>
      <c r="B324">
        <v>635.79999999999995</v>
      </c>
      <c r="C324">
        <v>232.12109057542762</v>
      </c>
      <c r="D324">
        <v>1.6386409433266915</v>
      </c>
      <c r="E324">
        <v>1.0494263112494555</v>
      </c>
      <c r="F324">
        <v>5.111533493397058E-2</v>
      </c>
      <c r="G324">
        <v>1.8691789237589675</v>
      </c>
    </row>
    <row r="325" spans="1:7" x14ac:dyDescent="0.35">
      <c r="A325" s="1">
        <v>2007.9166666670101</v>
      </c>
      <c r="B325">
        <v>637.9</v>
      </c>
      <c r="C325">
        <v>233.8512558249862</v>
      </c>
      <c r="D325">
        <v>1.6508549115172575</v>
      </c>
      <c r="E325">
        <v>1.0526886765322121</v>
      </c>
      <c r="F325">
        <v>5.4486674926013334E-2</v>
      </c>
      <c r="G325">
        <v>1.9924616463722964</v>
      </c>
    </row>
    <row r="326" spans="1:7" x14ac:dyDescent="0.35">
      <c r="A326" s="1">
        <v>2008.0000000003399</v>
      </c>
      <c r="B326">
        <v>556.6</v>
      </c>
      <c r="C326">
        <v>152.18142107454662</v>
      </c>
      <c r="D326">
        <v>1.0743130095081035</v>
      </c>
      <c r="E326">
        <v>1.0396504448833255</v>
      </c>
      <c r="F326">
        <v>4.1557417986412881E-2</v>
      </c>
      <c r="G326">
        <v>1.5196662591840073</v>
      </c>
    </row>
    <row r="327" spans="1:7" x14ac:dyDescent="0.35">
      <c r="A327" s="1">
        <v>2008.08333333367</v>
      </c>
      <c r="B327">
        <v>434.3</v>
      </c>
      <c r="C327">
        <v>29.511586324105167</v>
      </c>
      <c r="D327">
        <v>0.20833476843192167</v>
      </c>
      <c r="E327">
        <v>1.0042803686168864</v>
      </c>
      <c r="F327">
        <v>6.2963164292599849E-3</v>
      </c>
      <c r="G327">
        <v>0.23024288077330085</v>
      </c>
    </row>
    <row r="328" spans="1:7" x14ac:dyDescent="0.35">
      <c r="A328" s="1">
        <v>2008.1666666670001</v>
      </c>
      <c r="B328">
        <v>380.6</v>
      </c>
      <c r="C328">
        <v>-24.558248426334444</v>
      </c>
      <c r="D328">
        <v>-0.17336706142480282</v>
      </c>
      <c r="E328">
        <v>0.98223838543800979</v>
      </c>
      <c r="F328">
        <v>-1.5636692040330025E-2</v>
      </c>
      <c r="G328">
        <v>-0.57180052203220377</v>
      </c>
    </row>
    <row r="329" spans="1:7" x14ac:dyDescent="0.35">
      <c r="A329" s="1">
        <v>2008.2500000003299</v>
      </c>
      <c r="B329">
        <v>374.5</v>
      </c>
      <c r="C329">
        <v>-31.028083176774089</v>
      </c>
      <c r="D329">
        <v>-0.21904036104762734</v>
      </c>
      <c r="E329">
        <v>0.98188666454102336</v>
      </c>
      <c r="F329">
        <v>-1.5879438228030729E-2</v>
      </c>
      <c r="G329">
        <v>-0.58067723307125152</v>
      </c>
    </row>
    <row r="330" spans="1:7" x14ac:dyDescent="0.35">
      <c r="A330" s="1">
        <v>2008.33333333366</v>
      </c>
      <c r="B330">
        <v>475.4</v>
      </c>
      <c r="C330">
        <v>69.502082072784447</v>
      </c>
      <c r="D330">
        <v>0.49064459006540345</v>
      </c>
      <c r="E330">
        <v>0.98304712660796578</v>
      </c>
      <c r="F330">
        <v>-1.4610001451802135E-2</v>
      </c>
      <c r="G330">
        <v>-0.5342566340428746</v>
      </c>
    </row>
    <row r="331" spans="1:7" x14ac:dyDescent="0.35">
      <c r="A331" s="1">
        <v>2008.4166666669901</v>
      </c>
      <c r="B331">
        <v>578.70000000000005</v>
      </c>
      <c r="C331">
        <v>172.43224732234489</v>
      </c>
      <c r="D331">
        <v>1.2172721561482243</v>
      </c>
      <c r="E331">
        <v>0.98173400923349341</v>
      </c>
      <c r="F331">
        <v>-1.5814144116987894E-2</v>
      </c>
      <c r="G331">
        <v>-0.57828956650573837</v>
      </c>
    </row>
    <row r="332" spans="1:7" x14ac:dyDescent="0.35">
      <c r="A332" s="1">
        <v>2008.5000000003199</v>
      </c>
      <c r="B332">
        <v>633.70000000000005</v>
      </c>
      <c r="C332">
        <v>227.06241257190527</v>
      </c>
      <c r="D332">
        <v>1.6029295959642929</v>
      </c>
      <c r="E332">
        <v>0.9862353769830885</v>
      </c>
      <c r="F332">
        <v>-1.1203801658107082E-2</v>
      </c>
      <c r="G332">
        <v>-0.40969916273389395</v>
      </c>
    </row>
    <row r="333" spans="1:7" x14ac:dyDescent="0.35">
      <c r="A333" s="1">
        <v>2008.58333333365</v>
      </c>
      <c r="B333">
        <v>641</v>
      </c>
      <c r="C333">
        <v>233.99257782146378</v>
      </c>
      <c r="D333">
        <v>1.6518525632560406</v>
      </c>
      <c r="E333">
        <v>0.99719940463234402</v>
      </c>
      <c r="F333">
        <v>-1.3079929956494318E-4</v>
      </c>
      <c r="G333">
        <v>-4.7830517848643063E-3</v>
      </c>
    </row>
    <row r="334" spans="1:7" x14ac:dyDescent="0.35">
      <c r="A334" s="1">
        <v>2008.6666666669801</v>
      </c>
      <c r="B334">
        <v>649.79999999999995</v>
      </c>
      <c r="C334">
        <v>242.42274307102412</v>
      </c>
      <c r="D334">
        <v>1.7113646649039116</v>
      </c>
      <c r="E334">
        <v>1.007688050826014</v>
      </c>
      <c r="F334">
        <v>1.0466821603391185E-2</v>
      </c>
      <c r="G334">
        <v>0.3827493718876353</v>
      </c>
    </row>
    <row r="335" spans="1:7" x14ac:dyDescent="0.35">
      <c r="A335" s="1">
        <v>2008.7500000003099</v>
      </c>
      <c r="B335">
        <v>653.4</v>
      </c>
      <c r="C335">
        <v>245.65290832058452</v>
      </c>
      <c r="D335">
        <v>1.7341677674506006</v>
      </c>
      <c r="E335">
        <v>1.0188641237922611</v>
      </c>
      <c r="F335">
        <v>2.175186927892403E-2</v>
      </c>
      <c r="G335">
        <v>0.79541952842616981</v>
      </c>
    </row>
    <row r="336" spans="1:7" x14ac:dyDescent="0.35">
      <c r="A336" s="1">
        <v>2008.83333333364</v>
      </c>
      <c r="B336">
        <v>679.9</v>
      </c>
      <c r="C336">
        <v>271.78307357014307</v>
      </c>
      <c r="D336">
        <v>1.9186316545005608</v>
      </c>
      <c r="E336">
        <v>1.0258137694934377</v>
      </c>
      <c r="F336">
        <v>2.8810489689387264E-2</v>
      </c>
      <c r="G336">
        <v>1.0535382420978354</v>
      </c>
    </row>
    <row r="337" spans="1:7" x14ac:dyDescent="0.35">
      <c r="A337" s="1">
        <v>2008.9166666669701</v>
      </c>
      <c r="B337">
        <v>668.1</v>
      </c>
      <c r="C337">
        <v>259.6132388197035</v>
      </c>
      <c r="D337">
        <v>1.8327196443245175</v>
      </c>
      <c r="E337">
        <v>1.0315634197126091</v>
      </c>
      <c r="F337">
        <v>3.4669114617844832E-2</v>
      </c>
      <c r="G337">
        <v>1.2677756769621051</v>
      </c>
    </row>
    <row r="338" spans="1:7" x14ac:dyDescent="0.35">
      <c r="A338" s="1">
        <v>2009.0000000002999</v>
      </c>
      <c r="B338">
        <v>589.6</v>
      </c>
      <c r="C338">
        <v>180.74340406926387</v>
      </c>
      <c r="D338">
        <v>1.2759441264467695</v>
      </c>
      <c r="E338">
        <v>1.0224019769511523</v>
      </c>
      <c r="F338">
        <v>2.5616646565674195E-2</v>
      </c>
      <c r="G338">
        <v>0.9367462018940742</v>
      </c>
    </row>
    <row r="339" spans="1:7" x14ac:dyDescent="0.35">
      <c r="A339" s="1">
        <v>2009.08333333363</v>
      </c>
      <c r="B339">
        <v>479.6</v>
      </c>
      <c r="C339">
        <v>70.373569318822433</v>
      </c>
      <c r="D339">
        <v>0.49679678709069197</v>
      </c>
      <c r="E339">
        <v>0.99344430298342501</v>
      </c>
      <c r="F339">
        <v>-3.2320526927669402E-3</v>
      </c>
      <c r="G339">
        <v>-0.11818928275835477</v>
      </c>
    </row>
    <row r="340" spans="1:7" x14ac:dyDescent="0.35">
      <c r="A340" s="1">
        <v>2009.1666666669601</v>
      </c>
      <c r="B340">
        <v>359.6</v>
      </c>
      <c r="C340">
        <v>-49.996265431617189</v>
      </c>
      <c r="D340">
        <v>-0.3529447813061079</v>
      </c>
      <c r="E340">
        <v>0.96547785183585921</v>
      </c>
      <c r="F340">
        <v>-3.1089529131046567E-2</v>
      </c>
      <c r="G340">
        <v>-1.1368778601648821</v>
      </c>
    </row>
    <row r="341" spans="1:7" x14ac:dyDescent="0.35">
      <c r="A341" s="1">
        <v>2009.2500000002899</v>
      </c>
      <c r="B341">
        <v>394.5</v>
      </c>
      <c r="C341">
        <v>-15.466100182056834</v>
      </c>
      <c r="D341">
        <v>-0.10918174186191749</v>
      </c>
      <c r="E341">
        <v>0.96277662710182854</v>
      </c>
      <c r="F341">
        <v>-3.368177915579107E-2</v>
      </c>
      <c r="G341">
        <v>-1.2316709221222233</v>
      </c>
    </row>
    <row r="342" spans="1:7" x14ac:dyDescent="0.35">
      <c r="A342" s="1">
        <v>2009.33333333362</v>
      </c>
      <c r="B342">
        <v>454.6</v>
      </c>
      <c r="C342">
        <v>44.264065067501747</v>
      </c>
      <c r="D342">
        <v>0.31247875476491344</v>
      </c>
      <c r="E342">
        <v>0.96701884809858285</v>
      </c>
      <c r="F342">
        <v>-2.9330583449750591E-2</v>
      </c>
      <c r="G342">
        <v>-1.0725569631236636</v>
      </c>
    </row>
    <row r="343" spans="1:7" x14ac:dyDescent="0.35">
      <c r="A343" s="1">
        <v>2009.4166666669501</v>
      </c>
      <c r="B343">
        <v>476.9</v>
      </c>
      <c r="C343">
        <v>66.194230317062079</v>
      </c>
      <c r="D343">
        <v>0.46729306561777711</v>
      </c>
      <c r="E343">
        <v>0.97366319477501417</v>
      </c>
      <c r="F343">
        <v>-2.2577262064033099E-2</v>
      </c>
      <c r="G343">
        <v>-0.82560238450532542</v>
      </c>
    </row>
    <row r="344" spans="1:7" x14ac:dyDescent="0.35">
      <c r="A344" s="1">
        <v>2009.5000000002799</v>
      </c>
      <c r="B344">
        <v>460.8</v>
      </c>
      <c r="C344">
        <v>49.724395566622491</v>
      </c>
      <c r="D344">
        <v>0.35102553695421768</v>
      </c>
      <c r="E344">
        <v>0.9782336819740779</v>
      </c>
      <c r="F344">
        <v>-1.7897800155683208E-2</v>
      </c>
      <c r="G344">
        <v>-0.65448442968962461</v>
      </c>
    </row>
    <row r="345" spans="1:7" x14ac:dyDescent="0.35">
      <c r="A345" s="1">
        <v>2009.58333333361</v>
      </c>
      <c r="B345">
        <v>369.3</v>
      </c>
      <c r="C345">
        <v>-42.145439183818951</v>
      </c>
      <c r="D345">
        <v>-0.29752247867649934</v>
      </c>
      <c r="E345">
        <v>0.98948618473731731</v>
      </c>
      <c r="F345">
        <v>-6.5363226831576249E-3</v>
      </c>
      <c r="G345">
        <v>-0.23901939826920682</v>
      </c>
    </row>
    <row r="346" spans="1:7" x14ac:dyDescent="0.35">
      <c r="A346" s="1">
        <v>2009.66666666694</v>
      </c>
      <c r="B346">
        <v>369.2</v>
      </c>
      <c r="C346">
        <v>-42.615273934258596</v>
      </c>
      <c r="D346">
        <v>-0.30083924087488262</v>
      </c>
      <c r="E346">
        <v>1.0067454853025932</v>
      </c>
      <c r="F346">
        <v>1.0831952591404459E-2</v>
      </c>
      <c r="G346">
        <v>0.39610143439661294</v>
      </c>
    </row>
    <row r="347" spans="1:7" x14ac:dyDescent="0.35">
      <c r="A347" s="1">
        <v>2009.7500000002699</v>
      </c>
      <c r="B347">
        <v>323.7</v>
      </c>
      <c r="C347">
        <v>-88.485108684698218</v>
      </c>
      <c r="D347">
        <v>-0.62465380291820427</v>
      </c>
      <c r="E347">
        <v>1.0133879037848152</v>
      </c>
      <c r="F347">
        <v>1.7583345782912652E-2</v>
      </c>
      <c r="G347">
        <v>0.64298550305973723</v>
      </c>
    </row>
    <row r="348" spans="1:7" x14ac:dyDescent="0.35">
      <c r="A348" s="1">
        <v>2009.8333333336</v>
      </c>
      <c r="B348">
        <v>418.1</v>
      </c>
      <c r="C348">
        <v>5.5450565648603742</v>
      </c>
      <c r="D348">
        <v>3.9144899318349018E-2</v>
      </c>
      <c r="E348">
        <v>1.01562492831507</v>
      </c>
      <c r="F348">
        <v>1.9929345022453582E-2</v>
      </c>
      <c r="G348">
        <v>0.72877369831208272</v>
      </c>
    </row>
    <row r="349" spans="1:7" x14ac:dyDescent="0.35">
      <c r="A349" s="1">
        <v>2009.91666666693</v>
      </c>
      <c r="B349">
        <v>335.2</v>
      </c>
      <c r="C349">
        <v>-77.724778185579282</v>
      </c>
      <c r="D349">
        <v>-0.548692079337323</v>
      </c>
      <c r="E349">
        <v>1.017790315419431</v>
      </c>
      <c r="F349">
        <v>2.2203706836101178E-2</v>
      </c>
      <c r="G349">
        <v>0.81194226548598281</v>
      </c>
    </row>
    <row r="350" spans="1:7" x14ac:dyDescent="0.35">
      <c r="A350" s="1">
        <v>2010.0000000002599</v>
      </c>
      <c r="B350">
        <v>186.5</v>
      </c>
      <c r="C350">
        <v>-226.79461293601889</v>
      </c>
      <c r="D350">
        <v>-1.6010390850810332</v>
      </c>
      <c r="E350">
        <v>1.0082869021587255</v>
      </c>
      <c r="F350">
        <v>1.280926828468143E-2</v>
      </c>
      <c r="G350">
        <v>0.46840765765164061</v>
      </c>
    </row>
    <row r="351" spans="1:7" x14ac:dyDescent="0.35">
      <c r="A351" s="1">
        <v>2010.08333333359</v>
      </c>
      <c r="B351">
        <v>144.69999999999999</v>
      </c>
      <c r="C351">
        <v>-268.96444768646035</v>
      </c>
      <c r="D351">
        <v>-1.8987337823792956</v>
      </c>
      <c r="E351">
        <v>0.9801726610374194</v>
      </c>
      <c r="F351">
        <v>-1.5195998127338517E-2</v>
      </c>
      <c r="G351">
        <v>-0.55568528430449093</v>
      </c>
    </row>
    <row r="352" spans="1:7" x14ac:dyDescent="0.35">
      <c r="A352" s="1">
        <v>2010.16666666692</v>
      </c>
      <c r="B352">
        <v>163.9</v>
      </c>
      <c r="C352">
        <v>-250.13428243689995</v>
      </c>
      <c r="D352">
        <v>-1.7658036825290595</v>
      </c>
      <c r="E352">
        <v>0.9608204431186298</v>
      </c>
      <c r="F352">
        <v>-3.4439241336841508E-2</v>
      </c>
      <c r="G352">
        <v>-1.2593697007019375</v>
      </c>
    </row>
    <row r="353" spans="1:7" x14ac:dyDescent="0.35">
      <c r="A353" s="1">
        <v>2010.2500000002501</v>
      </c>
      <c r="B353">
        <v>211.5</v>
      </c>
      <c r="C353">
        <v>-202.9041171873414</v>
      </c>
      <c r="D353">
        <v>-1.432385972203148</v>
      </c>
      <c r="E353">
        <v>0.95821075340000506</v>
      </c>
      <c r="F353">
        <v>-3.6939956346180081E-2</v>
      </c>
      <c r="G353">
        <v>-1.3508155221138782</v>
      </c>
    </row>
    <row r="354" spans="1:7" x14ac:dyDescent="0.35">
      <c r="A354" s="1">
        <v>2010.33333333358</v>
      </c>
      <c r="B354">
        <v>341.9</v>
      </c>
      <c r="C354">
        <v>-72.873951937781044</v>
      </c>
      <c r="D354">
        <v>-0.51444804541993505</v>
      </c>
      <c r="E354">
        <v>0.96396486931312175</v>
      </c>
      <c r="F354">
        <v>-3.1076865723777214E-2</v>
      </c>
      <c r="G354">
        <v>-1.1364147863338796</v>
      </c>
    </row>
    <row r="355" spans="1:7" x14ac:dyDescent="0.35">
      <c r="A355" s="1">
        <v>2010.41666666691</v>
      </c>
      <c r="B355">
        <v>470.4</v>
      </c>
      <c r="C355">
        <v>55.256213311779334</v>
      </c>
      <c r="D355">
        <v>0.3900769778455383</v>
      </c>
      <c r="E355">
        <v>0.97050081412344902</v>
      </c>
      <c r="F355">
        <v>-2.4431946204163779E-2</v>
      </c>
      <c r="G355">
        <v>-0.89342423306487317</v>
      </c>
    </row>
    <row r="356" spans="1:7" x14ac:dyDescent="0.35">
      <c r="A356" s="1">
        <v>2010.5000000002401</v>
      </c>
      <c r="B356">
        <v>587.70000000000005</v>
      </c>
      <c r="C356">
        <v>172.18637856133796</v>
      </c>
      <c r="D356">
        <v>1.2155364645853757</v>
      </c>
      <c r="E356">
        <v>0.98060067637723414</v>
      </c>
      <c r="F356">
        <v>-1.4223109241092491E-2</v>
      </c>
      <c r="G356">
        <v>-0.52010880997091746</v>
      </c>
    </row>
    <row r="357" spans="1:7" x14ac:dyDescent="0.35">
      <c r="A357" s="1">
        <v>2010.58333333357</v>
      </c>
      <c r="B357">
        <v>641.20000000000005</v>
      </c>
      <c r="C357">
        <v>225.31654381089834</v>
      </c>
      <c r="D357">
        <v>1.5906047700453341</v>
      </c>
      <c r="E357">
        <v>0.99658655515488981</v>
      </c>
      <c r="F357">
        <v>1.8717442458493494E-3</v>
      </c>
      <c r="G357">
        <v>6.8445700287937949E-2</v>
      </c>
    </row>
    <row r="358" spans="1:7" x14ac:dyDescent="0.35">
      <c r="A358" s="1">
        <v>2010.6666666669</v>
      </c>
      <c r="B358">
        <v>633.5</v>
      </c>
      <c r="C358">
        <v>217.24670906045867</v>
      </c>
      <c r="D358">
        <v>1.5336363937759916</v>
      </c>
      <c r="E358">
        <v>1.0188970991205044</v>
      </c>
      <c r="F358">
        <v>2.4291262920750123E-2</v>
      </c>
      <c r="G358">
        <v>0.88827974504336316</v>
      </c>
    </row>
    <row r="359" spans="1:7" x14ac:dyDescent="0.35">
      <c r="A359" s="1">
        <v>2010.7500000002301</v>
      </c>
      <c r="B359">
        <v>668.4</v>
      </c>
      <c r="C359">
        <v>251.77687431001721</v>
      </c>
      <c r="D359">
        <v>1.7773994332201692</v>
      </c>
      <c r="E359">
        <v>1.042593231340976</v>
      </c>
      <c r="F359">
        <v>4.8096369850507914E-2</v>
      </c>
      <c r="G359">
        <v>1.7587818009999729</v>
      </c>
    </row>
    <row r="360" spans="1:7" x14ac:dyDescent="0.35">
      <c r="A360" s="1">
        <v>2010.8333333335599</v>
      </c>
      <c r="B360">
        <v>699.3</v>
      </c>
      <c r="C360">
        <v>282.30703955957756</v>
      </c>
      <c r="D360">
        <v>1.9929247810480655</v>
      </c>
      <c r="E360">
        <v>1.0561447486386153</v>
      </c>
      <c r="F360">
        <v>6.1756861857433343E-2</v>
      </c>
      <c r="G360">
        <v>2.2583168970823331</v>
      </c>
    </row>
    <row r="361" spans="1:7" x14ac:dyDescent="0.35">
      <c r="A361" s="1">
        <v>2010.91666666689</v>
      </c>
      <c r="B361">
        <v>835.1</v>
      </c>
      <c r="C361">
        <v>417.73720480913801</v>
      </c>
      <c r="D361">
        <v>2.9489835915132763</v>
      </c>
      <c r="E361">
        <v>1.0677040280296575</v>
      </c>
      <c r="F361">
        <v>7.3425115957761689E-2</v>
      </c>
      <c r="G361">
        <v>2.6850000963526046</v>
      </c>
    </row>
    <row r="362" spans="1:7" x14ac:dyDescent="0.35">
      <c r="A362" s="1">
        <v>2011.0000000002201</v>
      </c>
      <c r="B362">
        <v>720.9</v>
      </c>
      <c r="C362">
        <v>303.16737005869652</v>
      </c>
      <c r="D362">
        <v>2.1401866759600896</v>
      </c>
      <c r="E362">
        <v>1.0519196433657427</v>
      </c>
      <c r="F362">
        <v>5.7749706003133117E-2</v>
      </c>
      <c r="G362">
        <v>2.1117837426630008</v>
      </c>
    </row>
    <row r="363" spans="1:7" x14ac:dyDescent="0.35">
      <c r="A363" s="1">
        <v>2011.0833333335499</v>
      </c>
      <c r="B363">
        <v>435.5</v>
      </c>
      <c r="C363">
        <v>17.39753530825692</v>
      </c>
      <c r="D363">
        <v>0.12281655922952728</v>
      </c>
      <c r="E363">
        <v>1.0023081631066837</v>
      </c>
      <c r="F363">
        <v>8.2472004533602483E-3</v>
      </c>
      <c r="G363">
        <v>0.30158255418553293</v>
      </c>
    </row>
    <row r="364" spans="1:7" x14ac:dyDescent="0.35">
      <c r="A364" s="1">
        <v>2011.16666666689</v>
      </c>
      <c r="B364">
        <v>336.6</v>
      </c>
      <c r="C364">
        <v>-81.872299442228154</v>
      </c>
      <c r="D364">
        <v>-0.57797118589164187</v>
      </c>
      <c r="E364">
        <v>0.97393117596399992</v>
      </c>
      <c r="F364">
        <v>-2.0020811980024034E-2</v>
      </c>
      <c r="G364">
        <v>-0.73211845012742671</v>
      </c>
    </row>
    <row r="365" spans="1:7" x14ac:dyDescent="0.35">
      <c r="A365" s="1">
        <v>2011.2500000002201</v>
      </c>
      <c r="B365">
        <v>395.5</v>
      </c>
      <c r="C365">
        <v>-23.3421341926678</v>
      </c>
      <c r="D365">
        <v>-0.16478199674968669</v>
      </c>
      <c r="E365">
        <v>0.97016175937195881</v>
      </c>
      <c r="F365">
        <v>-2.3681253862778973E-2</v>
      </c>
      <c r="G365">
        <v>-0.86597301310209007</v>
      </c>
    </row>
    <row r="366" spans="1:7" x14ac:dyDescent="0.35">
      <c r="A366" s="1">
        <v>2011.3333333335499</v>
      </c>
      <c r="B366">
        <v>595</v>
      </c>
      <c r="C366">
        <v>175.78803105689258</v>
      </c>
      <c r="D366">
        <v>1.2409620527050076</v>
      </c>
      <c r="E366">
        <v>0.97853634080237406</v>
      </c>
      <c r="F366">
        <v>-1.5197697723077552E-2</v>
      </c>
      <c r="G366">
        <v>-0.55574743490055811</v>
      </c>
    </row>
    <row r="367" spans="1:7" x14ac:dyDescent="0.35">
      <c r="A367" s="1">
        <v>2011.41666666688</v>
      </c>
      <c r="B367">
        <v>627.1</v>
      </c>
      <c r="C367">
        <v>207.51819630645116</v>
      </c>
      <c r="D367">
        <v>1.4649587080177795</v>
      </c>
      <c r="E367">
        <v>0.98454711530084871</v>
      </c>
      <c r="F367">
        <v>-9.0779485153167361E-3</v>
      </c>
      <c r="G367">
        <v>-0.33196124133235189</v>
      </c>
    </row>
    <row r="368" spans="1:7" x14ac:dyDescent="0.35">
      <c r="A368" s="1">
        <v>2011.5000000002101</v>
      </c>
      <c r="B368">
        <v>547.29999999999995</v>
      </c>
      <c r="C368">
        <v>127.34836155601147</v>
      </c>
      <c r="D368">
        <v>0.89900594036473525</v>
      </c>
      <c r="E368">
        <v>0.99471714725972904</v>
      </c>
      <c r="F368">
        <v>1.2010581528497655E-3</v>
      </c>
      <c r="G368">
        <v>4.3920138416681777E-2</v>
      </c>
    </row>
    <row r="369" spans="1:7" x14ac:dyDescent="0.35">
      <c r="A369" s="1">
        <v>2011.5833333335399</v>
      </c>
      <c r="B369">
        <v>488.5</v>
      </c>
      <c r="C369">
        <v>68.178526805571892</v>
      </c>
      <c r="D369">
        <v>0.48130105369723597</v>
      </c>
      <c r="E369">
        <v>1.0058496035506037</v>
      </c>
      <c r="F369">
        <v>1.2442489153010605E-2</v>
      </c>
      <c r="G369">
        <v>0.45499532603962367</v>
      </c>
    </row>
    <row r="370" spans="1:7" x14ac:dyDescent="0.35">
      <c r="A370" s="1">
        <v>2011.66666666687</v>
      </c>
      <c r="B370">
        <v>435.2</v>
      </c>
      <c r="C370">
        <v>14.508692055130439</v>
      </c>
      <c r="D370">
        <v>0.10242299300212791</v>
      </c>
      <c r="E370">
        <v>1.0121464325838834</v>
      </c>
      <c r="F370">
        <v>1.8848292895576435E-2</v>
      </c>
      <c r="G370">
        <v>0.68924192465445444</v>
      </c>
    </row>
    <row r="371" spans="1:7" x14ac:dyDescent="0.35">
      <c r="A371" s="1">
        <v>2011.7500000002001</v>
      </c>
      <c r="B371">
        <v>466.5</v>
      </c>
      <c r="C371">
        <v>45.438857304690828</v>
      </c>
      <c r="D371">
        <v>0.32077210999165379</v>
      </c>
      <c r="E371">
        <v>1.0159729283425434</v>
      </c>
      <c r="F371">
        <v>2.2783763363522613E-2</v>
      </c>
      <c r="G371">
        <v>0.83315369718344789</v>
      </c>
    </row>
    <row r="372" spans="1:7" x14ac:dyDescent="0.35">
      <c r="A372" s="1">
        <v>2011.8333333335299</v>
      </c>
      <c r="B372">
        <v>531.79999999999995</v>
      </c>
      <c r="C372">
        <v>110.36902255425116</v>
      </c>
      <c r="D372">
        <v>0.7791416057196795</v>
      </c>
      <c r="E372">
        <v>1.0158443139573385</v>
      </c>
      <c r="F372">
        <v>2.2764123687603943E-2</v>
      </c>
      <c r="G372">
        <v>0.83243551606727106</v>
      </c>
    </row>
    <row r="373" spans="1:7" x14ac:dyDescent="0.35">
      <c r="A373" s="1">
        <v>2011.91666666686</v>
      </c>
      <c r="B373">
        <v>610.79999999999995</v>
      </c>
      <c r="C373">
        <v>188.99918780380972</v>
      </c>
      <c r="D373">
        <v>1.3342251952335</v>
      </c>
      <c r="E373">
        <v>1.015809306169257</v>
      </c>
      <c r="F373">
        <v>2.2838090608808592E-2</v>
      </c>
      <c r="G373">
        <v>0.83514032882746658</v>
      </c>
    </row>
    <row r="374" spans="1:7" x14ac:dyDescent="0.35">
      <c r="A374" s="1">
        <v>2012.0000000001901</v>
      </c>
      <c r="B374">
        <v>576.20000000000005</v>
      </c>
      <c r="C374">
        <v>154.02935305337019</v>
      </c>
      <c r="D374">
        <v>1.0873583428445805</v>
      </c>
      <c r="E374">
        <v>1.010465243806453</v>
      </c>
      <c r="F374">
        <v>1.7603002955290714E-2</v>
      </c>
      <c r="G374">
        <v>0.64370432398416699</v>
      </c>
    </row>
    <row r="375" spans="1:7" x14ac:dyDescent="0.35">
      <c r="A375" s="1">
        <v>2012.0833333335199</v>
      </c>
      <c r="B375">
        <v>395.8</v>
      </c>
      <c r="C375">
        <v>-26.74048169706947</v>
      </c>
      <c r="D375">
        <v>-0.18877236895826097</v>
      </c>
      <c r="E375">
        <v>0.99082117052313434</v>
      </c>
      <c r="F375">
        <v>-1.9320956187417471E-3</v>
      </c>
      <c r="G375">
        <v>-7.0652621447260922E-2</v>
      </c>
    </row>
    <row r="376" spans="1:7" x14ac:dyDescent="0.35">
      <c r="A376" s="1">
        <v>2012.16666666685</v>
      </c>
      <c r="B376">
        <v>216.9</v>
      </c>
      <c r="C376">
        <v>-206.01031644751092</v>
      </c>
      <c r="D376">
        <v>-1.454313946405005</v>
      </c>
      <c r="E376">
        <v>0.97303140981785585</v>
      </c>
      <c r="F376">
        <v>-1.9612881614734068E-2</v>
      </c>
      <c r="G376">
        <v>-0.71720130555337125</v>
      </c>
    </row>
    <row r="377" spans="1:7" x14ac:dyDescent="0.35">
      <c r="A377" s="1">
        <v>2012.2500000001801</v>
      </c>
      <c r="B377">
        <v>275.10000000000002</v>
      </c>
      <c r="C377">
        <v>-148.18015119795052</v>
      </c>
      <c r="D377">
        <v>-1.0460663532959009</v>
      </c>
      <c r="E377">
        <v>0.96976836291722179</v>
      </c>
      <c r="F377">
        <v>-2.2766953806081514E-2</v>
      </c>
      <c r="G377">
        <v>-0.83253900747191745</v>
      </c>
    </row>
    <row r="378" spans="1:7" x14ac:dyDescent="0.35">
      <c r="A378" s="1">
        <v>2012.3333333335099</v>
      </c>
      <c r="B378">
        <v>427.5</v>
      </c>
      <c r="C378">
        <v>3.8500140516098327</v>
      </c>
      <c r="D378">
        <v>2.7178877376929776E-2</v>
      </c>
      <c r="E378">
        <v>0.9752755073175664</v>
      </c>
      <c r="F378">
        <v>-1.7150834696451178E-2</v>
      </c>
      <c r="G378">
        <v>-0.62716949386897414</v>
      </c>
    </row>
    <row r="379" spans="1:7" x14ac:dyDescent="0.35">
      <c r="A379" s="1">
        <v>2012.41666666684</v>
      </c>
      <c r="B379">
        <v>427.4</v>
      </c>
      <c r="C379">
        <v>3.3801793011683685</v>
      </c>
      <c r="D379">
        <v>2.3862115178533632E-2</v>
      </c>
      <c r="E379">
        <v>0.98140716918004423</v>
      </c>
      <c r="F379">
        <v>-1.0910198124687187E-2</v>
      </c>
      <c r="G379">
        <v>-0.39896270688715924</v>
      </c>
    </row>
    <row r="380" spans="1:7" x14ac:dyDescent="0.35">
      <c r="A380" s="1">
        <v>2012.5000000001701</v>
      </c>
      <c r="B380">
        <v>313.60000000000002</v>
      </c>
      <c r="C380">
        <v>-110.78965544927303</v>
      </c>
      <c r="D380">
        <v>-0.78211103121302283</v>
      </c>
      <c r="E380">
        <v>0.98473620221891034</v>
      </c>
      <c r="F380">
        <v>-7.4721903765344599E-3</v>
      </c>
      <c r="G380">
        <v>-0.27324208643405234</v>
      </c>
    </row>
    <row r="381" spans="1:7" x14ac:dyDescent="0.35">
      <c r="A381" s="1">
        <v>2012.5833333334999</v>
      </c>
      <c r="B381">
        <v>292.89999999999998</v>
      </c>
      <c r="C381">
        <v>-131.85949019971088</v>
      </c>
      <c r="D381">
        <v>-0.93085190523530825</v>
      </c>
      <c r="E381">
        <v>0.99591062848271661</v>
      </c>
      <c r="F381">
        <v>3.8112105965575349E-3</v>
      </c>
      <c r="G381">
        <v>0.13936785370366792</v>
      </c>
    </row>
    <row r="382" spans="1:7" x14ac:dyDescent="0.35">
      <c r="A382" s="1">
        <v>2012.66666666683</v>
      </c>
      <c r="B382">
        <v>314.5</v>
      </c>
      <c r="C382">
        <v>-110.6293249501523</v>
      </c>
      <c r="D382">
        <v>-0.78097919041530839</v>
      </c>
      <c r="E382">
        <v>1.0002440806669501</v>
      </c>
      <c r="F382">
        <v>8.253637490077681E-3</v>
      </c>
      <c r="G382">
        <v>0.30181794290751296</v>
      </c>
    </row>
    <row r="383" spans="1:7" x14ac:dyDescent="0.35">
      <c r="A383" s="1">
        <v>2012.7500000001601</v>
      </c>
      <c r="B383">
        <v>318.2</v>
      </c>
      <c r="C383">
        <v>-107.29915970059375</v>
      </c>
      <c r="D383">
        <v>-0.75747014557822512</v>
      </c>
      <c r="E383">
        <v>0.99795317942665629</v>
      </c>
      <c r="F383">
        <v>6.071710959069998E-3</v>
      </c>
      <c r="G383">
        <v>0.22202953713420659</v>
      </c>
    </row>
    <row r="384" spans="1:7" x14ac:dyDescent="0.35">
      <c r="A384" s="1">
        <v>2012.8333333334899</v>
      </c>
      <c r="B384">
        <v>377.8</v>
      </c>
      <c r="C384">
        <v>-48.068994451033348</v>
      </c>
      <c r="D384">
        <v>-0.33933936040341806</v>
      </c>
      <c r="E384">
        <v>0.99489317545153311</v>
      </c>
      <c r="F384">
        <v>3.120681693232541E-3</v>
      </c>
      <c r="G384">
        <v>0.11411668252365313</v>
      </c>
    </row>
    <row r="385" spans="1:7" x14ac:dyDescent="0.35">
      <c r="A385" s="1">
        <v>2012.91666666682</v>
      </c>
      <c r="B385">
        <v>341.8</v>
      </c>
      <c r="C385">
        <v>-84.43882920147297</v>
      </c>
      <c r="D385">
        <v>-0.59608940485804107</v>
      </c>
      <c r="E385">
        <v>0.99793795476014424</v>
      </c>
      <c r="F385">
        <v>6.2744357111302884E-3</v>
      </c>
      <c r="G385">
        <v>0.22944274951684773</v>
      </c>
    </row>
    <row r="386" spans="1:7" x14ac:dyDescent="0.35">
      <c r="A386" s="1">
        <v>2013.0000000001501</v>
      </c>
      <c r="B386">
        <v>188.9</v>
      </c>
      <c r="C386">
        <v>-237.70866395191442</v>
      </c>
      <c r="D386">
        <v>-1.6780859867988731</v>
      </c>
      <c r="E386">
        <v>0.98930518051490213</v>
      </c>
      <c r="F386">
        <v>-2.2493638248256564E-3</v>
      </c>
      <c r="G386">
        <v>-8.2254443967976584E-2</v>
      </c>
    </row>
    <row r="387" spans="1:7" x14ac:dyDescent="0.35">
      <c r="A387" s="1">
        <v>2013.0833333334799</v>
      </c>
      <c r="B387">
        <v>163.4</v>
      </c>
      <c r="C387">
        <v>-263.57849870235407</v>
      </c>
      <c r="D387">
        <v>-1.8607120907607242</v>
      </c>
      <c r="E387">
        <v>0.96174337357487238</v>
      </c>
      <c r="F387">
        <v>-2.970219605556923E-2</v>
      </c>
      <c r="G387">
        <v>-1.0861460445900499</v>
      </c>
    </row>
    <row r="388" spans="1:7" x14ac:dyDescent="0.35">
      <c r="A388" s="1">
        <v>2013.16666666681</v>
      </c>
      <c r="B388">
        <v>178</v>
      </c>
      <c r="C388">
        <v>-249.34833345279367</v>
      </c>
      <c r="D388">
        <v>-1.7602553362692264</v>
      </c>
      <c r="E388">
        <v>0.94719176378154923</v>
      </c>
      <c r="F388">
        <v>-4.4144831139606211E-2</v>
      </c>
      <c r="G388">
        <v>-1.6142824470511994</v>
      </c>
    </row>
    <row r="389" spans="1:7" x14ac:dyDescent="0.35">
      <c r="A389" s="1">
        <v>2013.2500000001401</v>
      </c>
      <c r="B389">
        <v>182</v>
      </c>
      <c r="C389">
        <v>-245.71816820323511</v>
      </c>
      <c r="D389">
        <v>-1.7346284645609207</v>
      </c>
      <c r="E389">
        <v>0.94519130980139165</v>
      </c>
      <c r="F389">
        <v>-4.6036310410477621E-2</v>
      </c>
      <c r="G389">
        <v>-1.6834498151689457</v>
      </c>
    </row>
    <row r="390" spans="1:7" x14ac:dyDescent="0.35">
      <c r="A390" s="1">
        <v>2013.3333333334699</v>
      </c>
      <c r="B390">
        <v>274</v>
      </c>
      <c r="C390">
        <v>-154.08800295367473</v>
      </c>
      <c r="D390">
        <v>-1.0877723772941315</v>
      </c>
      <c r="E390">
        <v>0.95216811288101599</v>
      </c>
      <c r="F390">
        <v>-3.8950532621567113E-2</v>
      </c>
      <c r="G390">
        <v>-1.4243380140122082</v>
      </c>
    </row>
    <row r="391" spans="1:7" x14ac:dyDescent="0.35">
      <c r="A391" s="1">
        <v>2013.4166666668</v>
      </c>
      <c r="B391">
        <v>351.5</v>
      </c>
      <c r="C391">
        <v>-76.957837704114354</v>
      </c>
      <c r="D391">
        <v>-0.54327792213640835</v>
      </c>
      <c r="E391">
        <v>0.95936070713227761</v>
      </c>
      <c r="F391">
        <v>-3.1648963661019325E-2</v>
      </c>
      <c r="G391">
        <v>-1.1573351893401458</v>
      </c>
    </row>
    <row r="392" spans="1:7" x14ac:dyDescent="0.35">
      <c r="A392" s="1">
        <v>2013.5000000001301</v>
      </c>
      <c r="B392">
        <v>317.39999999999998</v>
      </c>
      <c r="C392">
        <v>-111.42767245455582</v>
      </c>
      <c r="D392">
        <v>-0.78661506307330464</v>
      </c>
      <c r="E392">
        <v>0.97188472748302812</v>
      </c>
      <c r="F392">
        <v>-1.9015968600982647E-2</v>
      </c>
      <c r="G392">
        <v>-0.6953734680548419</v>
      </c>
    </row>
    <row r="393" spans="1:7" x14ac:dyDescent="0.35">
      <c r="A393" s="1">
        <v>2013.5833333334599</v>
      </c>
      <c r="B393">
        <v>272.5</v>
      </c>
      <c r="C393">
        <v>-156.69750720499542</v>
      </c>
      <c r="D393">
        <v>-1.106193971374182</v>
      </c>
      <c r="E393">
        <v>0.98145148288370232</v>
      </c>
      <c r="F393">
        <v>-9.3402384910222791E-3</v>
      </c>
      <c r="G393">
        <v>-0.34155262707080725</v>
      </c>
    </row>
    <row r="394" spans="1:7" x14ac:dyDescent="0.35">
      <c r="A394" s="1">
        <v>2013.66666666679</v>
      </c>
      <c r="B394">
        <v>358</v>
      </c>
      <c r="C394">
        <v>-71.56734195543504</v>
      </c>
      <c r="D394">
        <v>-0.50522413298387059</v>
      </c>
      <c r="E394">
        <v>0.98975978287343036</v>
      </c>
      <c r="F394">
        <v>-9.2296379200806911E-4</v>
      </c>
      <c r="G394">
        <v>-3.3750819976888204E-2</v>
      </c>
    </row>
    <row r="395" spans="1:7" x14ac:dyDescent="0.35">
      <c r="A395" s="1">
        <v>2013.7500000001201</v>
      </c>
      <c r="B395">
        <v>404.5</v>
      </c>
      <c r="C395">
        <v>-25.437176705876482</v>
      </c>
      <c r="D395">
        <v>-0.17957178785243982</v>
      </c>
      <c r="E395">
        <v>0.99290316187624006</v>
      </c>
      <c r="F395">
        <v>2.3293899200877988E-3</v>
      </c>
      <c r="G395">
        <v>8.518082781749417E-2</v>
      </c>
    </row>
    <row r="396" spans="1:7" x14ac:dyDescent="0.35">
      <c r="A396" s="1">
        <v>2013.8333333334499</v>
      </c>
      <c r="B396">
        <v>427.3</v>
      </c>
      <c r="C396">
        <v>-3.0070114563160928</v>
      </c>
      <c r="D396">
        <v>-2.1227765547538961E-2</v>
      </c>
      <c r="E396">
        <v>0.99528542139293819</v>
      </c>
      <c r="F396">
        <v>4.8206241460720944E-3</v>
      </c>
      <c r="G396">
        <v>0.17627995717607284</v>
      </c>
    </row>
    <row r="397" spans="1:7" x14ac:dyDescent="0.35">
      <c r="A397" s="1">
        <v>2013.91666666678</v>
      </c>
      <c r="B397">
        <v>411.1</v>
      </c>
      <c r="C397">
        <v>-19.576846206755704</v>
      </c>
      <c r="D397">
        <v>-0.13820123650150593</v>
      </c>
      <c r="E397">
        <v>1.0005809022742254</v>
      </c>
      <c r="F397">
        <v>1.0225079736645437E-2</v>
      </c>
      <c r="G397">
        <v>0.37390938672672414</v>
      </c>
    </row>
    <row r="398" spans="1:7" x14ac:dyDescent="0.35">
      <c r="A398" s="1">
        <v>2014</v>
      </c>
      <c r="B398">
        <v>338.7</v>
      </c>
      <c r="C398">
        <v>-92.346680956707871</v>
      </c>
      <c r="D398">
        <v>-0.65191427466096441</v>
      </c>
      <c r="E398">
        <v>0.99596239311064494</v>
      </c>
      <c r="F398">
        <v>5.7155452822077457E-3</v>
      </c>
      <c r="G398">
        <v>0.20900531695806462</v>
      </c>
    </row>
    <row r="399" spans="1:7" x14ac:dyDescent="0.35">
      <c r="A399" s="1">
        <v>2014.0833333333333</v>
      </c>
      <c r="B399">
        <v>198.5</v>
      </c>
      <c r="C399">
        <v>-232.91651570716203</v>
      </c>
      <c r="D399">
        <v>-1.6442561857201523</v>
      </c>
      <c r="E399">
        <v>0.97489159281528748</v>
      </c>
      <c r="F399">
        <v>-1.524628030385955E-2</v>
      </c>
      <c r="G399">
        <v>-0.55752399639970174</v>
      </c>
    </row>
    <row r="400" spans="1:7" x14ac:dyDescent="0.35">
      <c r="A400" s="1">
        <v>2014.1666666666665</v>
      </c>
      <c r="B400">
        <v>216.6</v>
      </c>
      <c r="C400">
        <v>-215.18635045761803</v>
      </c>
      <c r="D400">
        <v>-1.5190914510645128</v>
      </c>
      <c r="E400">
        <v>0.95808436885137249</v>
      </c>
      <c r="F400">
        <v>-3.1944529558483925E-2</v>
      </c>
      <c r="G400">
        <v>-1.168143404660194</v>
      </c>
    </row>
    <row r="401" spans="1:7" x14ac:dyDescent="0.35">
      <c r="A401" s="1">
        <v>2014.25</v>
      </c>
      <c r="B401">
        <v>197.2</v>
      </c>
      <c r="C401">
        <v>-234.95618520807403</v>
      </c>
      <c r="D401">
        <v>-1.6586550753116307</v>
      </c>
      <c r="E401">
        <v>0.95710504272971086</v>
      </c>
      <c r="F401">
        <v>-3.2814880970854943E-2</v>
      </c>
      <c r="G401">
        <v>-1.1999703019771983</v>
      </c>
    </row>
    <row r="402" spans="1:7" x14ac:dyDescent="0.35">
      <c r="A402" s="1">
        <v>2014.3333333333333</v>
      </c>
      <c r="B402">
        <v>339.4</v>
      </c>
      <c r="C402">
        <v>-93.126019958528218</v>
      </c>
      <c r="D402">
        <v>-0.65741595826045285</v>
      </c>
      <c r="E402">
        <v>0.97037881482342581</v>
      </c>
      <c r="F402">
        <v>-1.9432134167849391E-2</v>
      </c>
      <c r="G402">
        <v>-0.71059175640972372</v>
      </c>
    </row>
    <row r="403" spans="1:7" x14ac:dyDescent="0.35">
      <c r="A403" s="1">
        <v>2014.4166666666665</v>
      </c>
      <c r="B403">
        <v>369.3</v>
      </c>
      <c r="C403">
        <v>-63.595854708982358</v>
      </c>
      <c r="D403">
        <v>-0.44895003333673239</v>
      </c>
      <c r="E403">
        <v>0.97390386462672107</v>
      </c>
      <c r="F403">
        <v>-1.5798109655263959E-2</v>
      </c>
      <c r="G403">
        <v>-0.57770322039361932</v>
      </c>
    </row>
    <row r="404" spans="1:7" x14ac:dyDescent="0.35">
      <c r="A404" s="1">
        <v>2014.5</v>
      </c>
      <c r="B404">
        <v>280.5</v>
      </c>
      <c r="C404">
        <v>-152.76568945943836</v>
      </c>
      <c r="D404">
        <v>-1.0784376071265538</v>
      </c>
      <c r="E404">
        <v>0.97401818998549217</v>
      </c>
      <c r="F404">
        <v>-1.557480958720181E-2</v>
      </c>
      <c r="G404">
        <v>-0.56953761252985624</v>
      </c>
    </row>
    <row r="405" spans="1:7" x14ac:dyDescent="0.35">
      <c r="A405" s="1">
        <v>2014.5833333333333</v>
      </c>
      <c r="B405">
        <v>230.4</v>
      </c>
      <c r="C405">
        <v>-203.23552420989253</v>
      </c>
      <c r="D405">
        <v>-1.4347255145287161</v>
      </c>
      <c r="E405">
        <v>0.97341753273924647</v>
      </c>
      <c r="F405">
        <v>-1.6066492124157339E-2</v>
      </c>
      <c r="G405">
        <v>-0.5875173956310491</v>
      </c>
    </row>
    <row r="406" spans="1:7" x14ac:dyDescent="0.35">
      <c r="A406" s="1">
        <v>2014.6666666666665</v>
      </c>
      <c r="B406">
        <v>313.2</v>
      </c>
      <c r="C406">
        <v>-120.80535896034854</v>
      </c>
      <c r="D406">
        <v>-0.85281611797951906</v>
      </c>
      <c r="E406">
        <v>0.96999887742047952</v>
      </c>
      <c r="F406">
        <v>-1.9376172733633679E-2</v>
      </c>
      <c r="G406">
        <v>-0.70854536595733886</v>
      </c>
    </row>
    <row r="407" spans="1:7" x14ac:dyDescent="0.35">
      <c r="A407" s="1">
        <v>2014.75</v>
      </c>
      <c r="B407">
        <v>411.8</v>
      </c>
      <c r="C407">
        <v>-22.575193710804513</v>
      </c>
      <c r="D407">
        <v>-0.15936783954595982</v>
      </c>
      <c r="E407">
        <v>0.9711743273842488</v>
      </c>
      <c r="F407">
        <v>-1.8091748060573787E-2</v>
      </c>
      <c r="G407">
        <v>-0.66157669146580156</v>
      </c>
    </row>
    <row r="408" spans="1:7" x14ac:dyDescent="0.35">
      <c r="A408" s="1">
        <v>2014.8333333333333</v>
      </c>
      <c r="B408">
        <v>496.8</v>
      </c>
      <c r="C408">
        <v>62.054971538741313</v>
      </c>
      <c r="D408">
        <v>0.4380722873922121</v>
      </c>
      <c r="E408">
        <v>0.97460378688869509</v>
      </c>
      <c r="F408">
        <v>-1.4553313846836891E-2</v>
      </c>
      <c r="G408">
        <v>-0.53218368907291047</v>
      </c>
    </row>
    <row r="409" spans="1:7" x14ac:dyDescent="0.35">
      <c r="A409" s="1">
        <v>2014.9166666666665</v>
      </c>
      <c r="B409">
        <v>523.29999999999995</v>
      </c>
      <c r="C409">
        <v>88.185136788287082</v>
      </c>
      <c r="D409">
        <v>0.62253617444208176</v>
      </c>
      <c r="E409">
        <v>0.97743105607116554</v>
      </c>
      <c r="F409">
        <v>-1.1617069955075832E-2</v>
      </c>
      <c r="G409">
        <v>-0.42481150409974067</v>
      </c>
    </row>
    <row r="410" spans="1:7" x14ac:dyDescent="0.35">
      <c r="A410" s="1">
        <v>2014.9999999999998</v>
      </c>
      <c r="B410">
        <v>295.3</v>
      </c>
      <c r="C410">
        <v>-140.18469796216704</v>
      </c>
      <c r="D410">
        <v>-0.98962306759476204</v>
      </c>
      <c r="E410">
        <v>0.97424375901618143</v>
      </c>
      <c r="F410">
        <v>-1.4695392300769772E-2</v>
      </c>
      <c r="G410">
        <v>-0.53737919550859481</v>
      </c>
    </row>
    <row r="411" spans="1:7" x14ac:dyDescent="0.35">
      <c r="A411" s="1">
        <v>2015.083333333333</v>
      </c>
      <c r="B411">
        <v>220.7</v>
      </c>
      <c r="C411">
        <v>-215.15453271262305</v>
      </c>
      <c r="D411">
        <v>-1.5188668361467392</v>
      </c>
      <c r="E411">
        <v>0.96550766980728508</v>
      </c>
      <c r="F411">
        <v>-2.3322506800375509E-2</v>
      </c>
      <c r="G411">
        <v>-0.85285439715501232</v>
      </c>
    </row>
    <row r="412" spans="1:7" x14ac:dyDescent="0.35">
      <c r="A412" s="1">
        <v>2015.1666666666665</v>
      </c>
      <c r="B412">
        <v>185.7</v>
      </c>
      <c r="C412">
        <v>-250.52436746307905</v>
      </c>
      <c r="D412">
        <v>-1.7685574576974044</v>
      </c>
      <c r="E412">
        <v>0.95915638819960092</v>
      </c>
      <c r="F412">
        <v>-2.9564813698769066E-2</v>
      </c>
      <c r="G412">
        <v>-1.0811222644239038</v>
      </c>
    </row>
    <row r="413" spans="1:7" x14ac:dyDescent="0.35">
      <c r="A413" s="1">
        <v>2015.2499999999998</v>
      </c>
      <c r="B413">
        <v>255.8</v>
      </c>
      <c r="C413">
        <v>-180.7942022135332</v>
      </c>
      <c r="D413">
        <v>-1.2763027320299278</v>
      </c>
      <c r="E413">
        <v>0.95664752295192845</v>
      </c>
      <c r="F413">
        <v>-3.196470423715092E-2</v>
      </c>
      <c r="G413">
        <v>-1.1688811496873306</v>
      </c>
    </row>
    <row r="414" spans="1:7" x14ac:dyDescent="0.35">
      <c r="A414" s="1">
        <v>2015.3333333333333</v>
      </c>
      <c r="B414">
        <v>283.8</v>
      </c>
      <c r="C414">
        <v>-153.16403696398919</v>
      </c>
      <c r="D414">
        <v>-1.0812497106239602</v>
      </c>
      <c r="E414">
        <v>0.96119359220718326</v>
      </c>
      <c r="F414">
        <v>-2.7309660272605507E-2</v>
      </c>
      <c r="G414">
        <v>-0.998656107066763</v>
      </c>
    </row>
    <row r="415" spans="1:7" x14ac:dyDescent="0.35">
      <c r="A415" s="1">
        <v>2015.4166666666665</v>
      </c>
      <c r="B415">
        <v>328.8</v>
      </c>
      <c r="C415">
        <v>-108.53387171444336</v>
      </c>
      <c r="D415">
        <v>-0.76618649984872977</v>
      </c>
      <c r="E415">
        <v>0.9657386209723835</v>
      </c>
      <c r="F415">
        <v>-2.2655656798114654E-2</v>
      </c>
      <c r="G415">
        <v>-0.8284691129512648</v>
      </c>
    </row>
    <row r="416" spans="1:7" x14ac:dyDescent="0.35">
      <c r="A416" s="1">
        <v>2015.4999999999998</v>
      </c>
      <c r="B416">
        <v>240.5</v>
      </c>
      <c r="C416">
        <v>-197.20370646489755</v>
      </c>
      <c r="D416">
        <v>-1.3921443621865015</v>
      </c>
      <c r="E416">
        <v>0.97575970823852842</v>
      </c>
      <c r="F416">
        <v>-1.252559482267912E-2</v>
      </c>
      <c r="G416">
        <v>-0.45803432336579203</v>
      </c>
    </row>
    <row r="417" spans="1:7" x14ac:dyDescent="0.35">
      <c r="A417" s="1">
        <v>2015.5833333333333</v>
      </c>
      <c r="B417">
        <v>233.5</v>
      </c>
      <c r="C417">
        <v>-204.57354121535354</v>
      </c>
      <c r="D417">
        <v>-1.4441711424231076</v>
      </c>
      <c r="E417">
        <v>0.98475894274801146</v>
      </c>
      <c r="F417">
        <v>-3.4173856039054762E-3</v>
      </c>
      <c r="G417">
        <v>-0.12496651256280668</v>
      </c>
    </row>
    <row r="418" spans="1:7" x14ac:dyDescent="0.35">
      <c r="A418" s="1">
        <v>2015.6666666666665</v>
      </c>
      <c r="B418">
        <v>242.4</v>
      </c>
      <c r="C418">
        <v>-196.04337596580771</v>
      </c>
      <c r="D418">
        <v>-1.3839530984849315</v>
      </c>
      <c r="E418">
        <v>0.99554809601761418</v>
      </c>
      <c r="F418">
        <v>7.4807423749874147E-3</v>
      </c>
      <c r="G418">
        <v>0.27355481480184374</v>
      </c>
    </row>
    <row r="419" spans="1:7" x14ac:dyDescent="0.35">
      <c r="A419" s="1">
        <v>2015.7499999999998</v>
      </c>
      <c r="B419">
        <v>236.6</v>
      </c>
      <c r="C419">
        <v>-202.21321071626372</v>
      </c>
      <c r="D419">
        <v>-1.4275085712366495</v>
      </c>
      <c r="E419">
        <v>1.0076579452774161</v>
      </c>
      <c r="F419">
        <v>1.9699566344079988E-2</v>
      </c>
      <c r="G419">
        <v>0.72037118146855761</v>
      </c>
    </row>
    <row r="420" spans="1:7" x14ac:dyDescent="0.35">
      <c r="A420" s="1">
        <v>2015.8333333333333</v>
      </c>
      <c r="B420">
        <v>327.5</v>
      </c>
      <c r="C420">
        <v>-111.6830454667197</v>
      </c>
      <c r="D420">
        <v>-0.78841784916445656</v>
      </c>
      <c r="E420">
        <v>1.0189375839630663</v>
      </c>
      <c r="F420">
        <v>3.1088179739020783E-2</v>
      </c>
      <c r="G420">
        <v>1.1368285157726559</v>
      </c>
    </row>
    <row r="421" spans="1:7" x14ac:dyDescent="0.35">
      <c r="A421" s="1">
        <v>2015.9166666666665</v>
      </c>
      <c r="B421">
        <v>266.3</v>
      </c>
      <c r="C421">
        <v>-173.25288021717387</v>
      </c>
      <c r="D421">
        <v>-1.2230653508018354</v>
      </c>
      <c r="E421">
        <v>1.0289074114997714</v>
      </c>
      <c r="F421">
        <v>4.1166981985016449E-2</v>
      </c>
      <c r="G421">
        <v>1.5053888462348468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F88D-FEC0-492E-9645-FBF3120346E6}">
  <dimension ref="A1:AU891"/>
  <sheetViews>
    <sheetView zoomScale="85" zoomScaleNormal="85" workbookViewId="0">
      <selection activeCell="R4" sqref="R4"/>
    </sheetView>
  </sheetViews>
  <sheetFormatPr defaultColWidth="11.453125" defaultRowHeight="14.5" x14ac:dyDescent="0.35"/>
  <cols>
    <col min="1" max="1" width="11.08984375" customWidth="1"/>
    <col min="2" max="2" width="7.54296875" customWidth="1"/>
    <col min="4" max="4" width="8.54296875" customWidth="1"/>
    <col min="6" max="6" width="7.6328125" customWidth="1"/>
    <col min="8" max="8" width="8.36328125" customWidth="1"/>
    <col min="10" max="10" width="8.453125" customWidth="1"/>
    <col min="11" max="11" width="5.6328125" customWidth="1"/>
    <col min="12" max="12" width="9.54296875" customWidth="1"/>
    <col min="13" max="13" width="4.08984375" customWidth="1"/>
    <col min="14" max="14" width="6.6328125" customWidth="1"/>
    <col min="15" max="16" width="6.08984375" customWidth="1"/>
    <col min="17" max="17" width="7.90625" bestFit="1" customWidth="1"/>
    <col min="18" max="18" width="6.1796875" customWidth="1"/>
    <col min="19" max="19" width="7.1796875" customWidth="1"/>
    <col min="20" max="20" width="7.90625" bestFit="1" customWidth="1"/>
    <col min="21" max="21" width="6.08984375" customWidth="1"/>
    <col min="22" max="22" width="10.26953125" bestFit="1" customWidth="1"/>
    <col min="23" max="26" width="6.08984375" customWidth="1"/>
    <col min="27" max="27" width="5.36328125" customWidth="1"/>
    <col min="28" max="28" width="7.36328125" customWidth="1"/>
    <col min="29" max="30" width="6.90625" customWidth="1"/>
    <col min="31" max="31" width="5" customWidth="1"/>
    <col min="32" max="32" width="7.90625" customWidth="1"/>
    <col min="33" max="33" width="7" customWidth="1"/>
    <col min="34" max="34" width="3.6328125" customWidth="1"/>
    <col min="35" max="35" width="7" customWidth="1"/>
    <col min="36" max="36" width="7.6328125" customWidth="1"/>
    <col min="37" max="37" width="3.6328125" customWidth="1"/>
    <col min="38" max="38" width="7.453125" customWidth="1"/>
    <col min="39" max="39" width="7.90625" customWidth="1"/>
    <col min="40" max="40" width="3.90625" customWidth="1"/>
    <col min="41" max="42" width="7.453125" customWidth="1"/>
    <col min="43" max="43" width="3.453125" customWidth="1"/>
    <col min="44" max="44" width="7.453125" customWidth="1"/>
    <col min="45" max="45" width="8.08984375" customWidth="1"/>
    <col min="46" max="46" width="6.6328125" customWidth="1"/>
  </cols>
  <sheetData>
    <row r="1" spans="1:47" x14ac:dyDescent="0.35">
      <c r="L1" s="1">
        <f>AVERAGE(L4:L795)</f>
        <v>1.018227336496641</v>
      </c>
      <c r="Q1" t="s">
        <v>19</v>
      </c>
    </row>
    <row r="2" spans="1:47" x14ac:dyDescent="0.35">
      <c r="C2" s="5" t="s">
        <v>20</v>
      </c>
      <c r="D2" s="5"/>
      <c r="E2" s="5" t="s">
        <v>21</v>
      </c>
      <c r="F2" s="5"/>
      <c r="G2" s="5" t="s">
        <v>22</v>
      </c>
      <c r="H2" s="5"/>
      <c r="I2" s="5" t="s">
        <v>23</v>
      </c>
      <c r="J2" s="5"/>
      <c r="L2" s="1">
        <f>_xlfn.STDEV.S(L4:L795)</f>
        <v>2.9792636277109767E-2</v>
      </c>
      <c r="Q2" t="s">
        <v>20</v>
      </c>
      <c r="R2" t="s">
        <v>21</v>
      </c>
      <c r="S2" t="s">
        <v>22</v>
      </c>
      <c r="T2" t="s">
        <v>23</v>
      </c>
      <c r="V2" t="s">
        <v>24</v>
      </c>
      <c r="AI2" s="5" t="s">
        <v>20</v>
      </c>
      <c r="AJ2" s="5"/>
      <c r="AL2" s="5" t="s">
        <v>21</v>
      </c>
      <c r="AM2" s="5"/>
      <c r="AO2" s="5" t="s">
        <v>22</v>
      </c>
      <c r="AP2" s="5"/>
      <c r="AR2" s="5" t="s">
        <v>23</v>
      </c>
      <c r="AS2" s="5"/>
    </row>
    <row r="3" spans="1:47" x14ac:dyDescent="0.35">
      <c r="A3" t="s">
        <v>25</v>
      </c>
      <c r="B3" t="s">
        <v>26</v>
      </c>
      <c r="C3" t="s">
        <v>27</v>
      </c>
      <c r="D3" t="s">
        <v>28</v>
      </c>
      <c r="E3" t="s">
        <v>27</v>
      </c>
      <c r="F3" t="s">
        <v>28</v>
      </c>
      <c r="G3" t="s">
        <v>27</v>
      </c>
      <c r="H3" t="s">
        <v>28</v>
      </c>
      <c r="I3" t="s">
        <v>27</v>
      </c>
      <c r="J3" t="s">
        <v>28</v>
      </c>
      <c r="L3" t="s">
        <v>29</v>
      </c>
      <c r="N3" t="s">
        <v>30</v>
      </c>
      <c r="O3" t="s">
        <v>28</v>
      </c>
      <c r="AB3" s="5" t="s">
        <v>31</v>
      </c>
      <c r="AC3" s="5"/>
      <c r="AD3" s="6"/>
      <c r="AF3" s="5" t="s">
        <v>32</v>
      </c>
      <c r="AG3" s="5"/>
      <c r="AI3" t="s">
        <v>30</v>
      </c>
      <c r="AJ3" t="s">
        <v>28</v>
      </c>
      <c r="AL3" t="s">
        <v>30</v>
      </c>
      <c r="AM3" t="s">
        <v>28</v>
      </c>
      <c r="AO3" t="s">
        <v>30</v>
      </c>
      <c r="AP3" t="s">
        <v>28</v>
      </c>
      <c r="AR3" t="s">
        <v>30</v>
      </c>
      <c r="AS3" t="s">
        <v>28</v>
      </c>
    </row>
    <row r="4" spans="1:47" x14ac:dyDescent="0.35">
      <c r="A4" t="s">
        <v>33</v>
      </c>
      <c r="B4">
        <v>2015</v>
      </c>
      <c r="C4" s="7">
        <v>2015.9166666666699</v>
      </c>
      <c r="D4" s="1">
        <v>0.98816253492875272</v>
      </c>
      <c r="E4" s="7">
        <v>2015.9166666666699</v>
      </c>
      <c r="F4" s="1">
        <v>0.99406250453576561</v>
      </c>
      <c r="G4" s="7">
        <v>2015.9166666666699</v>
      </c>
      <c r="H4" s="1">
        <v>1.1323293856786798</v>
      </c>
      <c r="I4" s="7">
        <v>2015.9166666666699</v>
      </c>
      <c r="J4" s="1">
        <v>1.0010752208558877</v>
      </c>
      <c r="L4" s="1">
        <f>AVERAGE(D4,F4,H4,J4)</f>
        <v>1.0289074114997714</v>
      </c>
      <c r="M4" s="1"/>
      <c r="N4" s="8">
        <v>2015</v>
      </c>
      <c r="O4" s="1">
        <f>AVERAGEIF(B$4:B$807,N4,L$4:L$807)</f>
        <v>0.98283810340824773</v>
      </c>
      <c r="P4" s="1"/>
      <c r="Q4" s="7">
        <f>STANDARDIZE(D4, AVERAGE($D$4:$D$411), _xlfn.STDEV.P($D$4:$D$411))</f>
        <v>-0.60734357018195095</v>
      </c>
      <c r="R4" s="7">
        <f>STANDARDIZE(F4, AVERAGE($F$4:$F$747), _xlfn.STDEV.P($F$4:$F$747))</f>
        <v>-8.65418908509199E-2</v>
      </c>
      <c r="S4" s="7">
        <f>STANDARDIZE(H4, AVERAGE($H$4:$H$891), _xlfn.STDEV.P($H$4:$H$891))</f>
        <v>2.8116705629407641</v>
      </c>
      <c r="T4" s="7">
        <f>STANDARDIZE(J4,AVERAGE($J$4:$J$795),_xlfn.STDEV.P($J$4:$J$795))</f>
        <v>-0.73452242179642635</v>
      </c>
      <c r="U4" s="1"/>
      <c r="V4" s="7">
        <f>AVERAGE(Q4,R4,S4,T4)</f>
        <v>0.34581567002786673</v>
      </c>
      <c r="W4" s="1"/>
      <c r="X4" s="1"/>
      <c r="Y4" s="1"/>
      <c r="Z4" s="1"/>
      <c r="AB4" t="s">
        <v>34</v>
      </c>
      <c r="AC4" s="1">
        <f>AVERAGEIF(A$4:A$795,AB4,L$4:L$795)</f>
        <v>1.0432325069660473</v>
      </c>
      <c r="AD4" s="1">
        <f t="array" ref="AD4">_xlfn.STDEV.S(IF(A$4:A$795=AB4,L$4:L$795))</f>
        <v>2.3721784932007568E-2</v>
      </c>
      <c r="AF4" s="7">
        <f>STANDARDIZE(L4,L$1,L$2)</f>
        <v>0.35848036084460561</v>
      </c>
      <c r="AG4" s="1"/>
      <c r="AI4" s="8">
        <v>2015</v>
      </c>
      <c r="AJ4" s="1">
        <v>0.96510377331073305</v>
      </c>
      <c r="AL4" s="8">
        <v>2015</v>
      </c>
      <c r="AM4" s="1">
        <f>AVERAGEIF(B$4:B$807,AL4,F$4:F$807)</f>
        <v>0.97724390973477726</v>
      </c>
      <c r="AO4" s="8">
        <v>2015</v>
      </c>
      <c r="AP4" s="1">
        <v>1.0063057048990218</v>
      </c>
      <c r="AR4" s="8">
        <v>2015</v>
      </c>
      <c r="AS4" s="1">
        <v>0.98269902568845835</v>
      </c>
      <c r="AU4" s="1">
        <f>AVERAGE(AJ4,AM4,AP4,AS4)</f>
        <v>0.98283810340824751</v>
      </c>
    </row>
    <row r="5" spans="1:47" x14ac:dyDescent="0.35">
      <c r="A5" t="s">
        <v>35</v>
      </c>
      <c r="B5">
        <v>2015</v>
      </c>
      <c r="C5" s="7">
        <v>2015.8333333333301</v>
      </c>
      <c r="D5" s="1">
        <v>0.98116482663793114</v>
      </c>
      <c r="E5" s="7">
        <v>2015.8333333333301</v>
      </c>
      <c r="F5" s="1">
        <v>0.98783305969944024</v>
      </c>
      <c r="G5" s="7">
        <v>2015.8333333333301</v>
      </c>
      <c r="H5" s="1">
        <v>1.1104903110482458</v>
      </c>
      <c r="I5" s="7">
        <v>2015.8333333333301</v>
      </c>
      <c r="J5" s="1">
        <v>0.99626213846664824</v>
      </c>
      <c r="L5" s="1">
        <f t="shared" ref="L5:L68" si="0">AVERAGE(D5,F5,H5,J5)</f>
        <v>1.0189375839630663</v>
      </c>
      <c r="M5" s="1"/>
      <c r="N5" s="8">
        <v>2014</v>
      </c>
      <c r="O5" s="1">
        <f t="shared" ref="O5:O68" si="1">AVERAGEIF(B$4:B$807,N5,L$4:L$807)</f>
        <v>0.97258082062054096</v>
      </c>
      <c r="P5" s="1"/>
      <c r="Q5" s="7">
        <f t="shared" ref="Q5:Q68" si="2">STANDARDIZE(D5, AVERAGE($D$5:$D$411), _xlfn.STDEV.P($L$5:$L$1820))</f>
        <v>-0.97860759077300707</v>
      </c>
      <c r="R5" s="7">
        <f t="shared" ref="R5:R68" si="3">STANDARDIZE(F5, AVERAGE($F$4:$F$747), _xlfn.STDEV.P($F$4:$F$747))</f>
        <v>-0.27840840659224142</v>
      </c>
      <c r="S5" s="7">
        <f t="shared" ref="S5:S68" si="4">STANDARDIZE(H5, AVERAGE($H$4:$H$891), _xlfn.STDEV.P($H$4:$H$891))</f>
        <v>2.2001692686357872</v>
      </c>
      <c r="T5" s="7">
        <f t="shared" ref="T5:T68" si="5">STANDARDIZE(J5,AVERAGE($J$4:$J$795),_xlfn.STDEV.P($J$4:$J$795))</f>
        <v>-0.884933297118639</v>
      </c>
      <c r="U5" s="1"/>
      <c r="V5" s="7">
        <f t="shared" ref="V5:V68" si="6">AVERAGE(Q5,R5,S5,T5)</f>
        <v>1.4554993537974903E-2</v>
      </c>
      <c r="W5" s="1"/>
      <c r="X5" s="1"/>
      <c r="Y5" s="1"/>
      <c r="Z5" s="1"/>
      <c r="AB5" t="s">
        <v>36</v>
      </c>
      <c r="AC5" s="1">
        <f t="shared" ref="AC5:AC13" si="7">AVERAGEIF(A$4:A$795,AB5,L$4:L$795)</f>
        <v>1.0117389890819868</v>
      </c>
      <c r="AD5" s="1">
        <f t="array" ref="AD5">_xlfn.STDEV.S(IF(A$4:A$795=AB5,L$4:L$795))</f>
        <v>1.8622662201148707E-2</v>
      </c>
      <c r="AF5" s="7">
        <f t="shared" ref="AF5:AF68" si="8">STANDARDIZE(L5,L$1,L$2)</f>
        <v>2.3839698501976352E-2</v>
      </c>
      <c r="AG5" s="1"/>
      <c r="AI5" s="8">
        <v>2014</v>
      </c>
      <c r="AJ5" s="1">
        <v>0.96323974208339946</v>
      </c>
      <c r="AL5" s="8">
        <v>2014</v>
      </c>
      <c r="AM5" s="1">
        <f t="shared" ref="AM5:AM64" si="9">AVERAGEIF(B$4:B$807,AL5,F$4:F$807)</f>
        <v>0.97850478416644904</v>
      </c>
      <c r="AO5" s="8">
        <v>2014</v>
      </c>
      <c r="AP5" s="1">
        <v>0.97297722275008669</v>
      </c>
      <c r="AR5" s="8">
        <v>2014</v>
      </c>
      <c r="AS5" s="1">
        <v>0.975601533482228</v>
      </c>
      <c r="AU5" s="1">
        <f t="shared" ref="AU5:AU68" si="10">AVERAGE(AJ5,AM5,AP5,AS5)</f>
        <v>0.97258082062054074</v>
      </c>
    </row>
    <row r="6" spans="1:47" x14ac:dyDescent="0.35">
      <c r="A6" t="s">
        <v>37</v>
      </c>
      <c r="B6">
        <v>2015</v>
      </c>
      <c r="C6" s="7">
        <v>2015.75</v>
      </c>
      <c r="D6" s="1">
        <v>0.97742765178745583</v>
      </c>
      <c r="E6" s="7">
        <v>2015.75</v>
      </c>
      <c r="F6" s="1">
        <v>0.98952997788581654</v>
      </c>
      <c r="G6" s="7">
        <v>2015.75</v>
      </c>
      <c r="H6" s="1">
        <v>1.0722449597543033</v>
      </c>
      <c r="I6" s="7">
        <v>2015.75</v>
      </c>
      <c r="J6" s="1">
        <v>0.99142919168208876</v>
      </c>
      <c r="L6" s="1">
        <f t="shared" si="0"/>
        <v>1.0076579452774161</v>
      </c>
      <c r="M6" s="1"/>
      <c r="N6" s="8">
        <v>2013</v>
      </c>
      <c r="O6" s="1">
        <f t="shared" si="1"/>
        <v>0.97390216053913103</v>
      </c>
      <c r="P6" s="1"/>
      <c r="Q6" s="7">
        <f t="shared" si="2"/>
        <v>-1.1040573432808498</v>
      </c>
      <c r="R6" s="7">
        <f t="shared" si="3"/>
        <v>-0.22614343138617529</v>
      </c>
      <c r="S6" s="7">
        <f t="shared" si="4"/>
        <v>1.129286815365395</v>
      </c>
      <c r="T6" s="7">
        <f t="shared" si="5"/>
        <v>-1.0359649432580111</v>
      </c>
      <c r="U6" s="1"/>
      <c r="V6" s="7">
        <f t="shared" si="6"/>
        <v>-0.30921972563991029</v>
      </c>
      <c r="W6" s="1"/>
      <c r="X6" s="1"/>
      <c r="Y6" s="1"/>
      <c r="Z6" s="1"/>
      <c r="AB6" t="s">
        <v>38</v>
      </c>
      <c r="AC6" s="1">
        <f t="shared" si="7"/>
        <v>0.99011467003043063</v>
      </c>
      <c r="AD6" s="1">
        <f t="array" ref="AD6">_xlfn.STDEV.S(IF(A$4:A$795=AB6,L$4:L$795))</f>
        <v>1.6495354099296134E-2</v>
      </c>
      <c r="AF6" s="7">
        <f t="shared" si="8"/>
        <v>-0.35476522187952542</v>
      </c>
      <c r="AG6" s="1"/>
      <c r="AI6" s="8">
        <v>2013</v>
      </c>
      <c r="AJ6" s="1">
        <v>0.96409316881429519</v>
      </c>
      <c r="AL6" s="8">
        <v>2013</v>
      </c>
      <c r="AM6" s="1">
        <f t="shared" si="9"/>
        <v>0.97322652853329095</v>
      </c>
      <c r="AO6" s="8">
        <v>2013</v>
      </c>
      <c r="AP6" s="1">
        <v>0.97812252691688284</v>
      </c>
      <c r="AR6" s="8">
        <v>2013</v>
      </c>
      <c r="AS6" s="1">
        <v>0.98016641789205483</v>
      </c>
      <c r="AU6" s="1">
        <f t="shared" si="10"/>
        <v>0.97390216053913092</v>
      </c>
    </row>
    <row r="7" spans="1:47" x14ac:dyDescent="0.35">
      <c r="A7" t="s">
        <v>39</v>
      </c>
      <c r="B7">
        <v>2015</v>
      </c>
      <c r="C7" s="7">
        <v>2015.6666666666699</v>
      </c>
      <c r="D7" s="1">
        <v>0.96997033660396692</v>
      </c>
      <c r="E7" s="7">
        <v>2015.6666666666699</v>
      </c>
      <c r="F7" s="1">
        <v>0.98827311358363534</v>
      </c>
      <c r="G7" s="7">
        <v>2015.6666666666699</v>
      </c>
      <c r="H7" s="1">
        <v>1.0360151918638041</v>
      </c>
      <c r="I7" s="7">
        <v>2015.6666666666699</v>
      </c>
      <c r="J7" s="1">
        <v>0.98793374201905082</v>
      </c>
      <c r="L7" s="1">
        <f t="shared" si="0"/>
        <v>0.99554809601761418</v>
      </c>
      <c r="M7" s="1"/>
      <c r="N7" s="8">
        <v>2012</v>
      </c>
      <c r="O7" s="1">
        <f t="shared" si="1"/>
        <v>0.98937034038076532</v>
      </c>
      <c r="P7" s="1"/>
      <c r="Q7" s="7">
        <f t="shared" si="2"/>
        <v>-1.354385032396781</v>
      </c>
      <c r="R7" s="7">
        <f t="shared" si="3"/>
        <v>-0.26485477417116138</v>
      </c>
      <c r="S7" s="7">
        <f t="shared" si="4"/>
        <v>0.11484136232703415</v>
      </c>
      <c r="T7" s="7">
        <f t="shared" si="5"/>
        <v>-1.1451992344967579</v>
      </c>
      <c r="U7" s="1"/>
      <c r="V7" s="7">
        <f t="shared" si="6"/>
        <v>-0.66239941968441651</v>
      </c>
      <c r="W7" s="1"/>
      <c r="X7" s="1"/>
      <c r="Y7" s="1"/>
      <c r="Z7" s="1"/>
      <c r="AB7" t="s">
        <v>40</v>
      </c>
      <c r="AC7" s="1">
        <f t="shared" si="7"/>
        <v>0.98658786455490211</v>
      </c>
      <c r="AD7" s="1">
        <f t="array" ref="AD7">_xlfn.STDEV.S(IF(A$4:A$795=AB7,L$4:L$795))</f>
        <v>1.626139927052879E-2</v>
      </c>
      <c r="AF7" s="7">
        <f t="shared" si="8"/>
        <v>-0.76123644339764884</v>
      </c>
      <c r="AG7" s="1"/>
      <c r="AI7" s="8">
        <v>2012</v>
      </c>
      <c r="AJ7" s="1">
        <v>0.99782937777728797</v>
      </c>
      <c r="AL7" s="8">
        <v>2012</v>
      </c>
      <c r="AM7" s="1">
        <f t="shared" si="9"/>
        <v>0.96503003384485231</v>
      </c>
      <c r="AO7" s="8">
        <v>2012</v>
      </c>
      <c r="AP7" s="1">
        <v>0.99793022453913016</v>
      </c>
      <c r="AR7" s="8">
        <v>2012</v>
      </c>
      <c r="AS7" s="1">
        <v>0.99669172536179185</v>
      </c>
      <c r="AU7" s="1">
        <f t="shared" si="10"/>
        <v>0.98937034038076554</v>
      </c>
    </row>
    <row r="8" spans="1:47" x14ac:dyDescent="0.35">
      <c r="A8" t="s">
        <v>41</v>
      </c>
      <c r="B8">
        <v>2015</v>
      </c>
      <c r="C8" s="7">
        <v>2015.5833333333301</v>
      </c>
      <c r="D8" s="1">
        <v>0.97035319520369157</v>
      </c>
      <c r="E8" s="7">
        <v>2015.5833333333301</v>
      </c>
      <c r="F8" s="1">
        <v>0.97832873797938191</v>
      </c>
      <c r="G8" s="7">
        <v>2015.5833333333301</v>
      </c>
      <c r="H8" s="1">
        <v>1.0022543754958246</v>
      </c>
      <c r="I8" s="7">
        <v>2015.5833333333301</v>
      </c>
      <c r="J8" s="1">
        <v>0.98809946231314805</v>
      </c>
      <c r="L8" s="1">
        <f t="shared" si="0"/>
        <v>0.98475894274801146</v>
      </c>
      <c r="M8" s="1"/>
      <c r="N8" s="8">
        <v>2011</v>
      </c>
      <c r="O8" s="1">
        <f t="shared" si="1"/>
        <v>1.0018119941479136</v>
      </c>
      <c r="P8" s="1"/>
      <c r="Q8" s="7">
        <f t="shared" si="2"/>
        <v>-1.3415332075551236</v>
      </c>
      <c r="R8" s="7">
        <f t="shared" si="3"/>
        <v>-0.57114092784012827</v>
      </c>
      <c r="S8" s="7">
        <f t="shared" si="4"/>
        <v>-0.83047263358021006</v>
      </c>
      <c r="T8" s="7">
        <f t="shared" si="5"/>
        <v>-1.1400204046995481</v>
      </c>
      <c r="U8" s="1"/>
      <c r="V8" s="7">
        <f t="shared" si="6"/>
        <v>-0.97079179341875244</v>
      </c>
      <c r="W8" s="1"/>
      <c r="X8" s="1"/>
      <c r="Y8" s="1"/>
      <c r="Z8" s="1"/>
      <c r="AB8" t="s">
        <v>42</v>
      </c>
      <c r="AC8" s="1">
        <f>AVERAGEIF(A$4:A$795,AB8,L$4:L$795)</f>
        <v>0.99405379574054753</v>
      </c>
      <c r="AD8" s="1">
        <f t="array" ref="AD8">_xlfn.STDEV.S(IF(A$4:A$795=AB8,L$4:L$795))</f>
        <v>1.7478001339753291E-2</v>
      </c>
      <c r="AF8" s="7">
        <f t="shared" si="8"/>
        <v>-1.1233780534669877</v>
      </c>
      <c r="AG8" s="1"/>
      <c r="AI8" s="8">
        <v>2011</v>
      </c>
      <c r="AJ8" s="1">
        <v>0.99562364902712785</v>
      </c>
      <c r="AL8" s="8">
        <v>2011</v>
      </c>
      <c r="AM8" s="1">
        <f t="shared" si="9"/>
        <v>0.9711656320960006</v>
      </c>
      <c r="AO8" s="8">
        <v>2011</v>
      </c>
      <c r="AP8" s="1">
        <v>1.034202796348767</v>
      </c>
      <c r="AR8" s="8">
        <v>2011</v>
      </c>
      <c r="AS8" s="1">
        <v>1.0062558991197585</v>
      </c>
      <c r="AU8" s="1">
        <f t="shared" si="10"/>
        <v>1.0018119941479136</v>
      </c>
    </row>
    <row r="9" spans="1:47" x14ac:dyDescent="0.35">
      <c r="A9" t="s">
        <v>43</v>
      </c>
      <c r="B9">
        <v>2015</v>
      </c>
      <c r="C9" s="7">
        <v>2015.5</v>
      </c>
      <c r="D9" s="1">
        <v>0.96892635979391661</v>
      </c>
      <c r="E9" s="7">
        <v>2015.5</v>
      </c>
      <c r="F9" s="1">
        <v>0.97528911332343737</v>
      </c>
      <c r="G9" s="7">
        <v>2015.5</v>
      </c>
      <c r="H9" s="1">
        <v>0.97528355578582471</v>
      </c>
      <c r="I9" s="7">
        <v>2015.5</v>
      </c>
      <c r="J9" s="1">
        <v>0.983539804050935</v>
      </c>
      <c r="L9" s="1">
        <f t="shared" si="0"/>
        <v>0.97575970823852842</v>
      </c>
      <c r="M9" s="1"/>
      <c r="N9" s="8">
        <v>2010</v>
      </c>
      <c r="O9" s="1">
        <f t="shared" si="1"/>
        <v>1.0003735651511023</v>
      </c>
      <c r="P9" s="1"/>
      <c r="Q9" s="7">
        <f t="shared" si="2"/>
        <v>-1.3894293205782884</v>
      </c>
      <c r="R9" s="7">
        <f t="shared" si="3"/>
        <v>-0.66476117927837863</v>
      </c>
      <c r="S9" s="7">
        <f t="shared" si="4"/>
        <v>-1.5856644830621305</v>
      </c>
      <c r="T9" s="7">
        <f t="shared" si="5"/>
        <v>-1.28251166807848</v>
      </c>
      <c r="U9" s="1"/>
      <c r="V9" s="7">
        <f t="shared" si="6"/>
        <v>-1.2305916627493194</v>
      </c>
      <c r="W9" s="1"/>
      <c r="X9" s="1"/>
      <c r="Y9" s="1"/>
      <c r="Z9" s="1"/>
      <c r="AB9" t="s">
        <v>44</v>
      </c>
      <c r="AC9" s="1">
        <f t="shared" ref="AC9:AC17" si="11">AVERAGEIF(A$4:A$795,AB9,L$4:L$795)</f>
        <v>1.0000743765241475</v>
      </c>
      <c r="AD9" s="1">
        <f t="array" ref="AD9">_xlfn.STDEV.S(IF(A$4:A$795=AB9,L$4:L$795))</f>
        <v>1.7895796913647972E-2</v>
      </c>
      <c r="AF9" s="7">
        <f t="shared" si="8"/>
        <v>-1.425440429746099</v>
      </c>
      <c r="AG9" s="1"/>
      <c r="AI9" s="8">
        <v>2010</v>
      </c>
      <c r="AJ9" s="1">
        <v>0.99678015010520482</v>
      </c>
      <c r="AL9" s="8">
        <v>2010</v>
      </c>
      <c r="AM9" s="1">
        <f t="shared" si="9"/>
        <v>0.97819900375433921</v>
      </c>
      <c r="AO9" s="8">
        <v>2010</v>
      </c>
      <c r="AP9" s="1">
        <v>1.0248516391166369</v>
      </c>
      <c r="AR9" s="8">
        <v>2010</v>
      </c>
      <c r="AS9" s="1">
        <v>1.0016634676282283</v>
      </c>
      <c r="AU9" s="1">
        <f t="shared" si="10"/>
        <v>1.0003735651511023</v>
      </c>
    </row>
    <row r="10" spans="1:47" x14ac:dyDescent="0.35">
      <c r="A10" t="s">
        <v>44</v>
      </c>
      <c r="B10">
        <v>2015</v>
      </c>
      <c r="C10" s="7">
        <v>2015.4166666666699</v>
      </c>
      <c r="D10" s="1">
        <v>0.95728508883769492</v>
      </c>
      <c r="E10" s="7">
        <v>2015.4166666666699</v>
      </c>
      <c r="F10" s="1">
        <v>0.96796705936046046</v>
      </c>
      <c r="G10" s="7">
        <v>2015.4166666666699</v>
      </c>
      <c r="H10" s="1">
        <v>0.96268514506847924</v>
      </c>
      <c r="I10" s="7">
        <v>2015.4166666666699</v>
      </c>
      <c r="J10" s="1">
        <v>0.97501719062289882</v>
      </c>
      <c r="L10" s="1">
        <f t="shared" si="0"/>
        <v>0.9657386209723835</v>
      </c>
      <c r="M10" s="1"/>
      <c r="N10" s="8">
        <v>2009</v>
      </c>
      <c r="O10" s="1">
        <f t="shared" si="1"/>
        <v>0.99217094177326393</v>
      </c>
      <c r="P10" s="1"/>
      <c r="Q10" s="7">
        <f t="shared" si="2"/>
        <v>-1.7802043361355637</v>
      </c>
      <c r="R10" s="7">
        <f t="shared" si="3"/>
        <v>-0.89027998855561341</v>
      </c>
      <c r="S10" s="7">
        <f t="shared" si="4"/>
        <v>-1.9384241393301007</v>
      </c>
      <c r="T10" s="7">
        <f t="shared" si="5"/>
        <v>-1.5488469688432593</v>
      </c>
      <c r="U10" s="1"/>
      <c r="V10" s="7">
        <f t="shared" si="6"/>
        <v>-1.5394388582161342</v>
      </c>
      <c r="W10" s="1"/>
      <c r="X10" s="1"/>
      <c r="Y10" s="1"/>
      <c r="Z10" s="1"/>
      <c r="AB10" t="s">
        <v>43</v>
      </c>
      <c r="AC10" s="1">
        <f t="shared" si="11"/>
        <v>1.0081449098378978</v>
      </c>
      <c r="AD10" s="1">
        <f t="array" ref="AD10">_xlfn.STDEV.S(IF(A$4:A$795=AB10,L$4:L$795))</f>
        <v>1.8384781674018757E-2</v>
      </c>
      <c r="AF10" s="7">
        <f t="shared" si="8"/>
        <v>-1.7618016423939475</v>
      </c>
      <c r="AG10" s="1"/>
      <c r="AI10" s="8">
        <v>2009</v>
      </c>
      <c r="AJ10" s="1">
        <v>0.98599543607844797</v>
      </c>
      <c r="AL10" s="8">
        <v>2009</v>
      </c>
      <c r="AM10" s="1">
        <f t="shared" si="9"/>
        <v>0.96433382411498592</v>
      </c>
      <c r="AO10" s="8">
        <v>2009</v>
      </c>
      <c r="AP10" s="1">
        <v>1.0269077089151344</v>
      </c>
      <c r="AR10" s="8">
        <v>2009</v>
      </c>
      <c r="AS10" s="1">
        <v>0.99144679798448754</v>
      </c>
      <c r="AU10" s="1">
        <f t="shared" si="10"/>
        <v>0.99217094177326393</v>
      </c>
    </row>
    <row r="11" spans="1:47" x14ac:dyDescent="0.35">
      <c r="A11" t="s">
        <v>42</v>
      </c>
      <c r="B11">
        <v>2015</v>
      </c>
      <c r="C11" s="7">
        <v>2015.3333333333301</v>
      </c>
      <c r="D11" s="1">
        <v>0.95058434204833542</v>
      </c>
      <c r="E11" s="7">
        <v>2015.3333333333301</v>
      </c>
      <c r="F11" s="1">
        <v>0.96931651118133366</v>
      </c>
      <c r="G11" s="7">
        <v>2015.3333333333301</v>
      </c>
      <c r="H11" s="1">
        <v>0.95294150415872736</v>
      </c>
      <c r="I11" s="7">
        <v>2015.3333333333301</v>
      </c>
      <c r="J11" s="1">
        <v>0.97193201144033625</v>
      </c>
      <c r="L11" s="1">
        <f t="shared" si="0"/>
        <v>0.96119359220718326</v>
      </c>
      <c r="M11" s="1"/>
      <c r="N11" s="8">
        <v>2008</v>
      </c>
      <c r="O11" s="1">
        <f t="shared" si="1"/>
        <v>1.0033500953967047</v>
      </c>
      <c r="P11" s="1"/>
      <c r="Q11" s="7">
        <f t="shared" si="2"/>
        <v>-2.0051354833190995</v>
      </c>
      <c r="R11" s="7">
        <f t="shared" si="3"/>
        <v>-0.84871695592035656</v>
      </c>
      <c r="S11" s="7">
        <f t="shared" si="4"/>
        <v>-2.211249299204459</v>
      </c>
      <c r="T11" s="7">
        <f t="shared" si="5"/>
        <v>-1.6452601327675997</v>
      </c>
      <c r="U11" s="1"/>
      <c r="V11" s="7">
        <f t="shared" si="6"/>
        <v>-1.6775904678028788</v>
      </c>
      <c r="W11" s="1"/>
      <c r="X11" s="1"/>
      <c r="Y11" s="1"/>
      <c r="Z11" s="1"/>
      <c r="AB11" t="s">
        <v>41</v>
      </c>
      <c r="AC11" s="1">
        <f t="shared" si="11"/>
        <v>1.0183362218688718</v>
      </c>
      <c r="AD11" s="1">
        <f t="array" ref="AD11">_xlfn.STDEV.S(IF(A$4:A$795=AB11,L$4:L$795))</f>
        <v>1.8855244931697393E-2</v>
      </c>
      <c r="AF11" s="7">
        <f t="shared" si="8"/>
        <v>-1.914357083373579</v>
      </c>
      <c r="AG11" s="1"/>
      <c r="AI11" s="8">
        <v>2008</v>
      </c>
      <c r="AJ11" s="1">
        <v>1.0198480426801224</v>
      </c>
      <c r="AL11" s="8">
        <v>2008</v>
      </c>
      <c r="AM11" s="1">
        <f t="shared" si="9"/>
        <v>0.97835923198503505</v>
      </c>
      <c r="AO11" s="8">
        <v>2008</v>
      </c>
      <c r="AP11" s="1">
        <v>1.0150278084098319</v>
      </c>
      <c r="AR11" s="8">
        <v>2008</v>
      </c>
      <c r="AS11" s="1">
        <v>1.0001652985118301</v>
      </c>
      <c r="AU11" s="1">
        <f t="shared" si="10"/>
        <v>1.0033500953967049</v>
      </c>
    </row>
    <row r="12" spans="1:47" x14ac:dyDescent="0.35">
      <c r="A12" t="s">
        <v>40</v>
      </c>
      <c r="B12">
        <v>2015</v>
      </c>
      <c r="C12" s="7">
        <v>2015.25</v>
      </c>
      <c r="D12" s="1">
        <v>0.94566716546785379</v>
      </c>
      <c r="E12" s="7">
        <v>2015.25</v>
      </c>
      <c r="F12" s="1">
        <v>0.96743708755380653</v>
      </c>
      <c r="G12" s="7">
        <v>2015.25</v>
      </c>
      <c r="H12" s="1">
        <v>0.9489557326676451</v>
      </c>
      <c r="I12" s="7">
        <v>2015.25</v>
      </c>
      <c r="J12" s="1">
        <v>0.96453010611840839</v>
      </c>
      <c r="L12" s="1">
        <f t="shared" si="0"/>
        <v>0.95664752295192845</v>
      </c>
      <c r="M12" s="1"/>
      <c r="N12" s="8">
        <v>2007</v>
      </c>
      <c r="O12" s="1">
        <f t="shared" si="1"/>
        <v>1.0081729260316561</v>
      </c>
      <c r="P12" s="1"/>
      <c r="Q12" s="7">
        <f t="shared" si="2"/>
        <v>-2.1701956182443696</v>
      </c>
      <c r="R12" s="7">
        <f t="shared" si="3"/>
        <v>-0.90660308742806506</v>
      </c>
      <c r="S12" s="7">
        <f t="shared" si="4"/>
        <v>-2.3228522158502107</v>
      </c>
      <c r="T12" s="7">
        <f t="shared" si="5"/>
        <v>-1.8765728277283913</v>
      </c>
      <c r="U12" s="1"/>
      <c r="V12" s="7">
        <f t="shared" si="6"/>
        <v>-1.8190559373127591</v>
      </c>
      <c r="W12" s="1"/>
      <c r="X12" s="1"/>
      <c r="Y12" s="1"/>
      <c r="Z12" s="1"/>
      <c r="AB12" t="s">
        <v>39</v>
      </c>
      <c r="AC12" s="1">
        <f t="shared" si="11"/>
        <v>1.0295674200883589</v>
      </c>
      <c r="AD12" s="1">
        <f t="array" ref="AD12">_xlfn.STDEV.S(IF(A$4:A$795=AB12,L$4:L$795))</f>
        <v>2.0227640581268455E-2</v>
      </c>
      <c r="AF12" s="7">
        <f t="shared" si="8"/>
        <v>-2.0669474487568409</v>
      </c>
      <c r="AG12" s="1"/>
      <c r="AI12" s="8">
        <v>2007</v>
      </c>
      <c r="AJ12" s="1">
        <v>0.99436986670648686</v>
      </c>
      <c r="AL12" s="8">
        <v>2007</v>
      </c>
      <c r="AM12" s="1">
        <f t="shared" si="9"/>
        <v>0.98804822930852187</v>
      </c>
      <c r="AO12" s="8">
        <v>2007</v>
      </c>
      <c r="AP12" s="1">
        <v>1.0256522551500078</v>
      </c>
      <c r="AR12" s="8">
        <v>2007</v>
      </c>
      <c r="AS12" s="1">
        <v>1.0246213529616077</v>
      </c>
      <c r="AU12" s="1">
        <f t="shared" si="10"/>
        <v>1.0081729260316561</v>
      </c>
    </row>
    <row r="13" spans="1:47" x14ac:dyDescent="0.35">
      <c r="A13" t="s">
        <v>38</v>
      </c>
      <c r="B13">
        <v>2015</v>
      </c>
      <c r="C13" s="7">
        <v>2015.1666666666699</v>
      </c>
      <c r="D13" s="1">
        <v>0.94638776464921481</v>
      </c>
      <c r="E13" s="7">
        <v>2015.1666666666699</v>
      </c>
      <c r="F13" s="1">
        <v>0.96570762335131977</v>
      </c>
      <c r="G13" s="7">
        <v>2015.1666666666699</v>
      </c>
      <c r="H13" s="1">
        <v>0.95121674728684824</v>
      </c>
      <c r="I13" s="7">
        <v>2015.1666666666699</v>
      </c>
      <c r="J13" s="1">
        <v>0.97331341751102107</v>
      </c>
      <c r="L13" s="1">
        <f t="shared" si="0"/>
        <v>0.95915638819960092</v>
      </c>
      <c r="M13" s="1"/>
      <c r="N13" s="8">
        <v>2006</v>
      </c>
      <c r="O13" s="1">
        <f t="shared" si="1"/>
        <v>1.0100838989666268</v>
      </c>
      <c r="P13" s="1"/>
      <c r="Q13" s="7">
        <f t="shared" si="2"/>
        <v>-2.146006493417203</v>
      </c>
      <c r="R13" s="7">
        <f t="shared" si="3"/>
        <v>-0.95987047791774738</v>
      </c>
      <c r="S13" s="7">
        <f t="shared" si="4"/>
        <v>-2.2595430606097939</v>
      </c>
      <c r="T13" s="7">
        <f t="shared" si="5"/>
        <v>-1.6020906044978058</v>
      </c>
      <c r="U13" s="1"/>
      <c r="V13" s="7">
        <f t="shared" si="6"/>
        <v>-1.7418776591106375</v>
      </c>
      <c r="W13" s="1"/>
      <c r="X13" s="1"/>
      <c r="Y13" s="1"/>
      <c r="Z13" s="1"/>
      <c r="AB13" t="s">
        <v>37</v>
      </c>
      <c r="AC13" s="1">
        <f t="shared" si="11"/>
        <v>1.0389340118638395</v>
      </c>
      <c r="AD13" s="1">
        <f t="array" ref="AD13">_xlfn.STDEV.S(IF(A$4:A$795=AB13,L$4:L$795))</f>
        <v>2.1442046229751929E-2</v>
      </c>
      <c r="AF13" s="7">
        <f t="shared" si="8"/>
        <v>-1.9827365308529401</v>
      </c>
      <c r="AG13" s="1"/>
      <c r="AI13" s="8">
        <v>2006</v>
      </c>
      <c r="AJ13" s="1">
        <v>0.99200895916121035</v>
      </c>
      <c r="AL13" s="8">
        <v>2006</v>
      </c>
      <c r="AM13" s="1">
        <f t="shared" si="9"/>
        <v>0.96555555463443632</v>
      </c>
      <c r="AO13" s="8">
        <v>2006</v>
      </c>
      <c r="AP13" s="1">
        <v>1.0572381771630934</v>
      </c>
      <c r="AR13" s="8">
        <v>2006</v>
      </c>
      <c r="AS13" s="1">
        <v>1.0255329049077659</v>
      </c>
      <c r="AU13" s="1">
        <f t="shared" si="10"/>
        <v>1.0100838989666265</v>
      </c>
    </row>
    <row r="14" spans="1:47" x14ac:dyDescent="0.35">
      <c r="A14" t="s">
        <v>36</v>
      </c>
      <c r="B14">
        <v>2015</v>
      </c>
      <c r="C14" s="7">
        <v>2015.0833333333301</v>
      </c>
      <c r="D14" s="1">
        <v>0.95413730308713596</v>
      </c>
      <c r="E14" s="7">
        <v>2015.0833333333301</v>
      </c>
      <c r="F14" s="1">
        <v>0.96606990145443239</v>
      </c>
      <c r="G14" s="7">
        <v>2015.0833333333301</v>
      </c>
      <c r="H14" s="1">
        <v>0.96282584908685764</v>
      </c>
      <c r="I14" s="7">
        <v>2015.0833333333301</v>
      </c>
      <c r="J14" s="1">
        <v>0.97899762560071457</v>
      </c>
      <c r="L14" s="1">
        <f t="shared" si="0"/>
        <v>0.96550766980728508</v>
      </c>
      <c r="M14" s="1"/>
      <c r="N14" s="8">
        <v>2005</v>
      </c>
      <c r="O14" s="1">
        <f t="shared" si="1"/>
        <v>1.003610894666896</v>
      </c>
      <c r="P14" s="1"/>
      <c r="Q14" s="7">
        <f t="shared" si="2"/>
        <v>-1.8858694332088546</v>
      </c>
      <c r="R14" s="7">
        <f t="shared" si="3"/>
        <v>-0.94871233474449534</v>
      </c>
      <c r="S14" s="7">
        <f t="shared" si="4"/>
        <v>-1.9344843803976228</v>
      </c>
      <c r="T14" s="7">
        <f t="shared" si="5"/>
        <v>-1.4244566798852059</v>
      </c>
      <c r="U14" s="1"/>
      <c r="V14" s="7">
        <f t="shared" si="6"/>
        <v>-1.5483807070590447</v>
      </c>
      <c r="W14" s="1"/>
      <c r="X14" s="1"/>
      <c r="Y14" s="1"/>
      <c r="Z14" s="1"/>
      <c r="AB14" t="s">
        <v>35</v>
      </c>
      <c r="AC14" s="1">
        <f>AVERAGEIF(A$4:A$795,AB14,L$4:L$795)</f>
        <v>1.0454833499819467</v>
      </c>
      <c r="AD14" s="1">
        <f t="array" ref="AD14">_xlfn.STDEV.S(IF(A$4:A$795=AB14,L$4:L$795))</f>
        <v>2.2740770913555405E-2</v>
      </c>
      <c r="AF14" s="7">
        <f t="shared" si="8"/>
        <v>-1.7695535970363723</v>
      </c>
      <c r="AG14" s="1"/>
      <c r="AI14" s="8">
        <v>2005</v>
      </c>
      <c r="AJ14" s="1">
        <v>0.99542653860691832</v>
      </c>
      <c r="AL14" s="8">
        <v>2005</v>
      </c>
      <c r="AM14" s="1">
        <f t="shared" si="9"/>
        <v>0.96152299255204732</v>
      </c>
      <c r="AO14" s="8">
        <v>2005</v>
      </c>
      <c r="AP14" s="1">
        <v>1.0260312365358877</v>
      </c>
      <c r="AR14" s="8">
        <v>2005</v>
      </c>
      <c r="AS14" s="1">
        <v>1.0314628109727311</v>
      </c>
      <c r="AU14" s="1">
        <f t="shared" si="10"/>
        <v>1.003610894666896</v>
      </c>
    </row>
    <row r="15" spans="1:47" x14ac:dyDescent="0.35">
      <c r="A15" t="s">
        <v>34</v>
      </c>
      <c r="B15">
        <v>2015</v>
      </c>
      <c r="C15" s="7">
        <v>2015</v>
      </c>
      <c r="D15" s="1">
        <v>0.97117871068284345</v>
      </c>
      <c r="E15" s="7">
        <v>2015</v>
      </c>
      <c r="F15" s="1">
        <v>0.97711222690849719</v>
      </c>
      <c r="G15" s="7">
        <v>2015</v>
      </c>
      <c r="H15" s="1">
        <v>0.96842570089301994</v>
      </c>
      <c r="I15" s="7">
        <v>2015</v>
      </c>
      <c r="J15" s="1">
        <v>0.98025839758036515</v>
      </c>
      <c r="L15" s="1">
        <f t="shared" si="0"/>
        <v>0.97424375901618143</v>
      </c>
      <c r="M15" s="1"/>
      <c r="N15" s="8">
        <v>2004</v>
      </c>
      <c r="O15" s="1">
        <f t="shared" si="1"/>
        <v>1.0071545803485669</v>
      </c>
      <c r="P15" s="1"/>
      <c r="Q15" s="7">
        <f t="shared" si="2"/>
        <v>-1.3138222449444699</v>
      </c>
      <c r="R15" s="7">
        <f t="shared" si="3"/>
        <v>-0.60860939359655308</v>
      </c>
      <c r="S15" s="7">
        <f>STANDARDIZE(H15, AVERAGE($H$4:$H$891), _xlfn.STDEV.P($H$4:$H$891))</f>
        <v>-1.7776866824488131</v>
      </c>
      <c r="T15" s="7">
        <f t="shared" si="5"/>
        <v>-1.3850570183575075</v>
      </c>
      <c r="U15" s="1"/>
      <c r="V15" s="7">
        <f t="shared" si="6"/>
        <v>-1.2712938348368359</v>
      </c>
      <c r="W15" s="1"/>
      <c r="X15" s="1"/>
      <c r="Y15" s="1"/>
      <c r="Z15" s="1"/>
      <c r="AB15" t="s">
        <v>33</v>
      </c>
      <c r="AC15" s="1">
        <f>AVERAGEIF(A$4:A$795,AB15,L$4:L$795)</f>
        <v>1.0524599214207147</v>
      </c>
      <c r="AD15" s="1">
        <f t="array" ref="AD15">_xlfn.STDEV.S(IF(A$4:A$795=AB15,L$4:L$795))</f>
        <v>2.4741566772057685E-2</v>
      </c>
      <c r="AF15" s="7">
        <f t="shared" si="8"/>
        <v>-1.4763237825399478</v>
      </c>
      <c r="AG15" s="1"/>
      <c r="AI15" s="8">
        <v>2004</v>
      </c>
      <c r="AJ15" s="1">
        <v>1.011890279425204</v>
      </c>
      <c r="AL15" s="8">
        <v>2004</v>
      </c>
      <c r="AM15" s="1">
        <f t="shared" si="9"/>
        <v>0.97110102770904694</v>
      </c>
      <c r="AO15" s="8">
        <v>2004</v>
      </c>
      <c r="AP15" s="1">
        <v>1.0254505674623873</v>
      </c>
      <c r="AR15" s="8">
        <v>2004</v>
      </c>
      <c r="AS15" s="1">
        <v>1.0201764467976293</v>
      </c>
      <c r="AU15" s="1">
        <f t="shared" si="10"/>
        <v>1.0071545803485669</v>
      </c>
    </row>
    <row r="16" spans="1:47" x14ac:dyDescent="0.35">
      <c r="A16" t="s">
        <v>33</v>
      </c>
      <c r="B16">
        <v>2014</v>
      </c>
      <c r="C16" s="7">
        <v>2014.9166666666665</v>
      </c>
      <c r="D16" s="1">
        <v>0.97316918821950738</v>
      </c>
      <c r="E16" s="7">
        <v>2014.9166666666665</v>
      </c>
      <c r="F16" s="1">
        <v>0.98247086960010543</v>
      </c>
      <c r="G16" s="7">
        <v>2014.9166666666665</v>
      </c>
      <c r="H16" s="1">
        <v>0.96965132898034645</v>
      </c>
      <c r="I16" s="7">
        <v>2014.9166666666665</v>
      </c>
      <c r="J16" s="1">
        <v>0.984432837484703</v>
      </c>
      <c r="L16" s="1">
        <f t="shared" si="0"/>
        <v>0.97743105607116554</v>
      </c>
      <c r="M16" s="1"/>
      <c r="N16" s="8">
        <v>2003</v>
      </c>
      <c r="O16" s="1">
        <f t="shared" si="1"/>
        <v>1.0061966399243929</v>
      </c>
      <c r="P16" s="1"/>
      <c r="Q16" s="7">
        <f t="shared" si="2"/>
        <v>-1.2470057527176877</v>
      </c>
      <c r="R16" s="7">
        <f t="shared" si="3"/>
        <v>-0.44356353006370375</v>
      </c>
      <c r="S16" s="7">
        <f t="shared" ref="S16:S79" si="12">STANDARDIZE(H16, AVERAGE($H$4:$H$891), _xlfn.STDEV.P($H$4:$H$891))</f>
        <v>-1.7433686916722138</v>
      </c>
      <c r="T16" s="7">
        <f t="shared" si="5"/>
        <v>-1.2546039927880366</v>
      </c>
      <c r="U16" s="1"/>
      <c r="V16" s="7">
        <f t="shared" si="6"/>
        <v>-1.1721354918104105</v>
      </c>
      <c r="W16" s="1"/>
      <c r="X16" s="1"/>
      <c r="Y16" s="1"/>
      <c r="Z16" s="1"/>
      <c r="AF16" s="7">
        <f t="shared" si="8"/>
        <v>-1.369341069585708</v>
      </c>
      <c r="AI16" s="8">
        <v>2003</v>
      </c>
      <c r="AJ16" s="1">
        <v>1.0165280830667383</v>
      </c>
      <c r="AL16" s="8">
        <v>2003</v>
      </c>
      <c r="AM16" s="1">
        <f t="shared" si="9"/>
        <v>0.97818583548860127</v>
      </c>
      <c r="AO16" s="8">
        <v>2003</v>
      </c>
      <c r="AP16" s="1">
        <v>1.0008751587496185</v>
      </c>
      <c r="AR16" s="8">
        <v>2003</v>
      </c>
      <c r="AS16" s="1">
        <v>1.0291974823926133</v>
      </c>
      <c r="AU16" s="1">
        <f t="shared" si="10"/>
        <v>1.0061966399243927</v>
      </c>
    </row>
    <row r="17" spans="1:47" x14ac:dyDescent="0.35">
      <c r="A17" t="s">
        <v>35</v>
      </c>
      <c r="B17">
        <v>2014</v>
      </c>
      <c r="C17" s="7">
        <v>2014.8333333333333</v>
      </c>
      <c r="D17" s="1">
        <v>0.96933400544420589</v>
      </c>
      <c r="E17" s="7">
        <v>2014.8333333333333</v>
      </c>
      <c r="F17" s="1">
        <v>0.98008556485588205</v>
      </c>
      <c r="G17" s="7">
        <v>2014.8333333333333</v>
      </c>
      <c r="H17" s="1">
        <v>0.9679640093816344</v>
      </c>
      <c r="I17" s="7">
        <v>2014.8333333333333</v>
      </c>
      <c r="J17" s="1">
        <v>0.98103156787305812</v>
      </c>
      <c r="L17" s="1">
        <f t="shared" si="0"/>
        <v>0.97460378688869509</v>
      </c>
      <c r="M17" s="1"/>
      <c r="N17" s="8">
        <v>2002</v>
      </c>
      <c r="O17" s="1">
        <f t="shared" si="1"/>
        <v>1.0031421855949292</v>
      </c>
      <c r="P17" s="1"/>
      <c r="Q17" s="7">
        <f t="shared" si="2"/>
        <v>-1.3757454422515398</v>
      </c>
      <c r="R17" s="7">
        <f t="shared" si="3"/>
        <v>-0.51703076868289177</v>
      </c>
      <c r="S17" s="7">
        <f t="shared" si="12"/>
        <v>-1.7906141970784135</v>
      </c>
      <c r="T17" s="7">
        <f t="shared" si="5"/>
        <v>-1.3608951172944641</v>
      </c>
      <c r="U17" s="1"/>
      <c r="V17" s="7">
        <f t="shared" si="6"/>
        <v>-1.2610713813268273</v>
      </c>
      <c r="W17" s="1"/>
      <c r="X17" s="1"/>
      <c r="Y17" s="1"/>
      <c r="Z17" s="1"/>
      <c r="AF17" s="7">
        <f t="shared" si="8"/>
        <v>-1.4642393241803404</v>
      </c>
      <c r="AI17" s="8">
        <v>2002</v>
      </c>
      <c r="AJ17" s="1">
        <v>1.0248878217185255</v>
      </c>
      <c r="AL17" s="8">
        <v>2002</v>
      </c>
      <c r="AM17" s="1">
        <f t="shared" si="9"/>
        <v>0.96952248411621167</v>
      </c>
      <c r="AO17" s="8">
        <v>2002</v>
      </c>
      <c r="AP17" s="1">
        <v>1.0004933473127522</v>
      </c>
      <c r="AR17" s="8">
        <v>2002</v>
      </c>
      <c r="AS17" s="1">
        <v>1.0176650892322272</v>
      </c>
      <c r="AU17" s="1">
        <f t="shared" si="10"/>
        <v>1.0031421855949292</v>
      </c>
    </row>
    <row r="18" spans="1:47" x14ac:dyDescent="0.35">
      <c r="A18" t="s">
        <v>37</v>
      </c>
      <c r="B18">
        <v>2014</v>
      </c>
      <c r="C18" s="7">
        <v>2014.75</v>
      </c>
      <c r="D18" s="1">
        <v>0.96287852774870408</v>
      </c>
      <c r="E18" s="7">
        <v>2014.75</v>
      </c>
      <c r="F18" s="1">
        <v>0.98004057607389228</v>
      </c>
      <c r="G18" s="7">
        <v>2014.75</v>
      </c>
      <c r="H18" s="1">
        <v>0.96461792720270123</v>
      </c>
      <c r="I18" s="7">
        <v>2014.75</v>
      </c>
      <c r="J18" s="1">
        <v>0.97716027851169751</v>
      </c>
      <c r="L18" s="1">
        <f t="shared" si="0"/>
        <v>0.9711743273842488</v>
      </c>
      <c r="M18" s="1"/>
      <c r="N18" s="8">
        <v>2001</v>
      </c>
      <c r="O18" s="1">
        <f t="shared" si="1"/>
        <v>0.99729031601428153</v>
      </c>
      <c r="P18" s="1"/>
      <c r="Q18" s="7">
        <f t="shared" si="2"/>
        <v>-1.5924433789610308</v>
      </c>
      <c r="R18" s="7">
        <f t="shared" si="3"/>
        <v>-0.51841642038615265</v>
      </c>
      <c r="S18" s="7">
        <f t="shared" si="12"/>
        <v>-1.8843056019521829</v>
      </c>
      <c r="T18" s="7">
        <f t="shared" si="5"/>
        <v>-1.4818745592357903</v>
      </c>
      <c r="U18" s="1"/>
      <c r="V18" s="7">
        <f t="shared" si="6"/>
        <v>-1.3692599901337892</v>
      </c>
      <c r="W18" s="1"/>
      <c r="X18" s="1"/>
      <c r="Y18" s="1"/>
      <c r="Z18" s="1"/>
      <c r="AF18" s="7">
        <f t="shared" si="8"/>
        <v>-1.5793503023612543</v>
      </c>
      <c r="AI18" s="8">
        <v>2001</v>
      </c>
      <c r="AJ18" s="1">
        <v>1.0036296338238662</v>
      </c>
      <c r="AL18" s="8">
        <v>2001</v>
      </c>
      <c r="AM18" s="1">
        <f t="shared" si="9"/>
        <v>0.95771951967476365</v>
      </c>
      <c r="AO18" s="8">
        <v>2001</v>
      </c>
      <c r="AP18" s="1">
        <v>1.0053296083669372</v>
      </c>
      <c r="AR18" s="8">
        <v>2001</v>
      </c>
      <c r="AS18" s="1">
        <v>1.0241146609238247</v>
      </c>
      <c r="AU18" s="1">
        <f t="shared" si="10"/>
        <v>0.99769835569734799</v>
      </c>
    </row>
    <row r="19" spans="1:47" x14ac:dyDescent="0.35">
      <c r="A19" t="s">
        <v>39</v>
      </c>
      <c r="B19">
        <v>2014</v>
      </c>
      <c r="C19" s="7">
        <v>2014.6666666666665</v>
      </c>
      <c r="D19" s="1">
        <v>0.96419865886844558</v>
      </c>
      <c r="E19" s="7">
        <v>2014.6666666666665</v>
      </c>
      <c r="F19" s="1">
        <v>0.98204828480299544</v>
      </c>
      <c r="G19" s="7">
        <v>2014.6666666666665</v>
      </c>
      <c r="H19" s="1">
        <v>0.96294911108329384</v>
      </c>
      <c r="I19" s="7">
        <v>2014.6666666666665</v>
      </c>
      <c r="J19" s="1">
        <v>0.97079945492718323</v>
      </c>
      <c r="L19" s="1">
        <f t="shared" si="0"/>
        <v>0.96999887742047952</v>
      </c>
      <c r="M19" s="1"/>
      <c r="N19" s="8">
        <v>2000</v>
      </c>
      <c r="O19" s="1">
        <f t="shared" si="1"/>
        <v>1.0056202798714569</v>
      </c>
      <c r="P19" s="1"/>
      <c r="Q19" s="7">
        <f t="shared" si="2"/>
        <v>-1.5481291231727556</v>
      </c>
      <c r="R19" s="7">
        <f t="shared" si="3"/>
        <v>-0.45657911568281889</v>
      </c>
      <c r="S19" s="7">
        <f t="shared" si="12"/>
        <v>-1.9310330038336034</v>
      </c>
      <c r="T19" s="7">
        <f t="shared" si="5"/>
        <v>-1.6806530063398588</v>
      </c>
      <c r="U19" s="1"/>
      <c r="V19" s="7">
        <f t="shared" si="6"/>
        <v>-1.4040985622572593</v>
      </c>
      <c r="W19" s="1"/>
      <c r="X19" s="1"/>
      <c r="Y19" s="1"/>
      <c r="Z19" s="1"/>
      <c r="AF19" s="7">
        <f t="shared" si="8"/>
        <v>-1.618804681384181</v>
      </c>
      <c r="AI19" s="8">
        <v>2000</v>
      </c>
      <c r="AJ19" s="1">
        <v>1.0249514067756726</v>
      </c>
      <c r="AL19" s="8">
        <v>2000</v>
      </c>
      <c r="AM19" s="1">
        <f t="shared" si="9"/>
        <v>0.96962444870635534</v>
      </c>
      <c r="AO19" s="8">
        <v>2000</v>
      </c>
      <c r="AP19" s="1">
        <v>1.0040414424732522</v>
      </c>
      <c r="AR19" s="8">
        <v>2000</v>
      </c>
      <c r="AS19" s="1">
        <v>1.0215817611483289</v>
      </c>
      <c r="AU19" s="1">
        <f t="shared" si="10"/>
        <v>1.0050497647759022</v>
      </c>
    </row>
    <row r="20" spans="1:47" x14ac:dyDescent="0.35">
      <c r="A20" t="s">
        <v>41</v>
      </c>
      <c r="B20">
        <v>2014</v>
      </c>
      <c r="C20" s="7">
        <v>2014.5833333333333</v>
      </c>
      <c r="D20" s="1">
        <v>0.97862214134927517</v>
      </c>
      <c r="E20" s="7">
        <v>2014.5833333333333</v>
      </c>
      <c r="F20" s="1">
        <v>0.97962252161786023</v>
      </c>
      <c r="G20" s="7">
        <v>2014.5833333333333</v>
      </c>
      <c r="H20" s="1">
        <v>0.96630293487970031</v>
      </c>
      <c r="I20" s="7">
        <v>2014.5833333333333</v>
      </c>
      <c r="J20" s="1">
        <v>0.96912253311015029</v>
      </c>
      <c r="L20" s="1">
        <f t="shared" si="0"/>
        <v>0.97341753273924647</v>
      </c>
      <c r="M20" s="1"/>
      <c r="N20" s="8">
        <v>1999</v>
      </c>
      <c r="O20" s="1">
        <f t="shared" si="1"/>
        <v>1.0279427659501064</v>
      </c>
      <c r="P20" s="1"/>
      <c r="Q20" s="7">
        <f t="shared" si="2"/>
        <v>-1.0639606322895567</v>
      </c>
      <c r="R20" s="7">
        <f t="shared" si="3"/>
        <v>-0.53129247178021499</v>
      </c>
      <c r="S20" s="7">
        <f t="shared" si="12"/>
        <v>-1.8371248311166428</v>
      </c>
      <c r="T20" s="7">
        <f t="shared" si="5"/>
        <v>-1.7330575275902613</v>
      </c>
      <c r="U20" s="1"/>
      <c r="V20" s="7">
        <f t="shared" si="6"/>
        <v>-1.291358865694169</v>
      </c>
      <c r="W20" s="1"/>
      <c r="X20" s="1"/>
      <c r="Y20" s="1"/>
      <c r="Z20" s="1"/>
      <c r="AF20" s="7">
        <f t="shared" si="8"/>
        <v>-1.5040563493812973</v>
      </c>
      <c r="AI20" s="8">
        <v>1999</v>
      </c>
      <c r="AJ20" s="1">
        <v>1.0303614491058715</v>
      </c>
      <c r="AL20" s="8">
        <v>1999</v>
      </c>
      <c r="AM20" s="1">
        <f t="shared" si="9"/>
        <v>1.0001097353192525</v>
      </c>
      <c r="AO20" s="8">
        <v>1999</v>
      </c>
      <c r="AP20" s="1">
        <v>1.0310702718555513</v>
      </c>
      <c r="AR20" s="8">
        <v>1999</v>
      </c>
      <c r="AS20" s="1">
        <v>1.050229607519751</v>
      </c>
      <c r="AU20" s="1">
        <f t="shared" si="10"/>
        <v>1.0279427659501066</v>
      </c>
    </row>
    <row r="21" spans="1:47" x14ac:dyDescent="0.35">
      <c r="A21" t="s">
        <v>43</v>
      </c>
      <c r="B21">
        <v>2014</v>
      </c>
      <c r="C21" s="7">
        <v>2014.5</v>
      </c>
      <c r="D21" s="1">
        <v>0.98371258259425953</v>
      </c>
      <c r="E21" s="7">
        <v>2014.5</v>
      </c>
      <c r="F21" s="1">
        <v>0.97509456268050554</v>
      </c>
      <c r="G21" s="7">
        <v>2014.5</v>
      </c>
      <c r="H21" s="1">
        <v>0.96710428687867933</v>
      </c>
      <c r="I21" s="7">
        <v>2014.5</v>
      </c>
      <c r="J21" s="1">
        <v>0.97016132778852437</v>
      </c>
      <c r="L21" s="1">
        <f t="shared" si="0"/>
        <v>0.97401818998549217</v>
      </c>
      <c r="M21" s="1"/>
      <c r="N21" s="8">
        <v>1998</v>
      </c>
      <c r="O21" s="1">
        <f t="shared" si="1"/>
        <v>0.99982180283368205</v>
      </c>
      <c r="P21" s="1"/>
      <c r="Q21" s="7">
        <f t="shared" si="2"/>
        <v>-0.89308433672158694</v>
      </c>
      <c r="R21" s="7">
        <f t="shared" si="3"/>
        <v>-0.67075332705002244</v>
      </c>
      <c r="S21" s="7">
        <f t="shared" si="12"/>
        <v>-1.8146867107813303</v>
      </c>
      <c r="T21" s="7">
        <f t="shared" si="5"/>
        <v>-1.7005947513029451</v>
      </c>
      <c r="U21" s="1"/>
      <c r="V21" s="7">
        <f t="shared" si="6"/>
        <v>-1.2697797814639711</v>
      </c>
      <c r="W21" s="1"/>
      <c r="X21" s="1"/>
      <c r="Y21" s="1"/>
      <c r="Z21" s="1"/>
      <c r="AF21" s="7">
        <f t="shared" si="8"/>
        <v>-1.4838950840048863</v>
      </c>
      <c r="AI21" s="8">
        <v>1998</v>
      </c>
      <c r="AJ21" s="1">
        <v>1.0084520400060799</v>
      </c>
      <c r="AL21" s="8">
        <v>1998</v>
      </c>
      <c r="AM21" s="1">
        <f t="shared" si="9"/>
        <v>0.96980536223485381</v>
      </c>
      <c r="AO21" s="8">
        <v>1998</v>
      </c>
      <c r="AP21" s="1">
        <v>0.9982694524268082</v>
      </c>
      <c r="AR21" s="8">
        <v>1998</v>
      </c>
      <c r="AS21" s="1">
        <v>1.0240405289029755</v>
      </c>
      <c r="AU21" s="1">
        <f t="shared" si="10"/>
        <v>1.0001418458926792</v>
      </c>
    </row>
    <row r="22" spans="1:47" x14ac:dyDescent="0.35">
      <c r="A22" t="s">
        <v>44</v>
      </c>
      <c r="B22">
        <v>2014</v>
      </c>
      <c r="C22" s="7">
        <v>2014.4166666666665</v>
      </c>
      <c r="D22" s="1">
        <v>0.98031300025791213</v>
      </c>
      <c r="E22" s="7">
        <v>2014.4166666666665</v>
      </c>
      <c r="F22" s="1">
        <v>0.9761838908475996</v>
      </c>
      <c r="G22" s="7">
        <v>2014.4166666666665</v>
      </c>
      <c r="H22" s="1">
        <v>0.97018799418227619</v>
      </c>
      <c r="I22" s="7">
        <v>2014.4166666666665</v>
      </c>
      <c r="J22" s="1">
        <v>0.96893057321909637</v>
      </c>
      <c r="L22" s="1">
        <f t="shared" si="0"/>
        <v>0.97390386462672107</v>
      </c>
      <c r="M22" s="1"/>
      <c r="N22" s="8">
        <v>1997</v>
      </c>
      <c r="O22" s="1">
        <f t="shared" si="1"/>
        <v>0.98551106689113954</v>
      </c>
      <c r="P22" s="1"/>
      <c r="Q22" s="7">
        <f t="shared" si="2"/>
        <v>-1.0072017595846285</v>
      </c>
      <c r="R22" s="7">
        <f t="shared" si="3"/>
        <v>-0.63720208686559121</v>
      </c>
      <c r="S22" s="7">
        <f t="shared" si="12"/>
        <v>-1.7283418889737536</v>
      </c>
      <c r="T22" s="7">
        <f t="shared" si="5"/>
        <v>-1.7390563559719916</v>
      </c>
      <c r="U22" s="1"/>
      <c r="V22" s="7">
        <f t="shared" si="6"/>
        <v>-1.2779505228489914</v>
      </c>
      <c r="W22" s="1"/>
      <c r="X22" s="1"/>
      <c r="Y22" s="1"/>
      <c r="Z22" s="1"/>
      <c r="AF22" s="7">
        <f t="shared" si="8"/>
        <v>-1.4877324536726031</v>
      </c>
      <c r="AI22" s="8">
        <v>1997</v>
      </c>
      <c r="AJ22" s="1">
        <v>0.9829147062188307</v>
      </c>
      <c r="AL22" s="8">
        <v>1997</v>
      </c>
      <c r="AM22" s="1">
        <f t="shared" si="9"/>
        <v>0.95953649678746267</v>
      </c>
      <c r="AO22" s="8">
        <v>1997</v>
      </c>
      <c r="AP22" s="1">
        <v>1.0013008013498037</v>
      </c>
      <c r="AR22" s="8">
        <v>1997</v>
      </c>
      <c r="AS22" s="1">
        <v>0.99771985666414975</v>
      </c>
      <c r="AU22" s="1">
        <f t="shared" si="10"/>
        <v>0.98536796525506165</v>
      </c>
    </row>
    <row r="23" spans="1:47" x14ac:dyDescent="0.35">
      <c r="A23" t="s">
        <v>42</v>
      </c>
      <c r="B23">
        <v>2014</v>
      </c>
      <c r="C23" s="7">
        <v>2014.3333333333333</v>
      </c>
      <c r="D23" s="1">
        <v>0.96622578267489423</v>
      </c>
      <c r="E23" s="7">
        <v>2014.3333333333333</v>
      </c>
      <c r="F23" s="1">
        <v>0.97743997601828803</v>
      </c>
      <c r="G23" s="7">
        <v>2014.3333333333333</v>
      </c>
      <c r="H23" s="1">
        <v>0.97133776565469621</v>
      </c>
      <c r="I23" s="7">
        <v>2014.3333333333333</v>
      </c>
      <c r="J23" s="1">
        <v>0.96651173494582454</v>
      </c>
      <c r="L23" s="1">
        <f t="shared" si="0"/>
        <v>0.97037881482342581</v>
      </c>
      <c r="M23" s="1"/>
      <c r="N23" s="8">
        <v>1996</v>
      </c>
      <c r="O23" s="1">
        <f t="shared" si="1"/>
        <v>1.0283250525420431</v>
      </c>
      <c r="P23" s="1"/>
      <c r="Q23" s="7">
        <f t="shared" si="2"/>
        <v>-1.4800824863424249</v>
      </c>
      <c r="R23" s="7">
        <f t="shared" si="3"/>
        <v>-0.59851474128240223</v>
      </c>
      <c r="S23" s="7">
        <f t="shared" si="12"/>
        <v>-1.6961479084394324</v>
      </c>
      <c r="T23" s="7">
        <f t="shared" si="5"/>
        <v>-1.8146460825802602</v>
      </c>
      <c r="U23" s="1"/>
      <c r="V23" s="7">
        <f t="shared" si="6"/>
        <v>-1.3973478046611301</v>
      </c>
      <c r="W23" s="1"/>
      <c r="X23" s="1"/>
      <c r="Y23" s="1"/>
      <c r="Z23" s="1"/>
      <c r="AF23" s="7">
        <f t="shared" si="8"/>
        <v>-1.6060519528437329</v>
      </c>
      <c r="AI23" s="8">
        <v>1996</v>
      </c>
      <c r="AJ23" s="1">
        <v>1.0381665041607262</v>
      </c>
      <c r="AL23" s="8">
        <v>1996</v>
      </c>
      <c r="AM23" s="1">
        <f t="shared" si="9"/>
        <v>0.99306331135276105</v>
      </c>
      <c r="AO23" s="8">
        <v>1996</v>
      </c>
      <c r="AP23" s="1">
        <v>1.0585592592522561</v>
      </c>
      <c r="AR23" s="8">
        <v>1996</v>
      </c>
      <c r="AS23" s="1">
        <v>1.0235111354024291</v>
      </c>
      <c r="AU23" s="1">
        <f t="shared" si="10"/>
        <v>1.0283250525420431</v>
      </c>
    </row>
    <row r="24" spans="1:47" x14ac:dyDescent="0.35">
      <c r="A24" t="s">
        <v>40</v>
      </c>
      <c r="B24">
        <v>2014</v>
      </c>
      <c r="C24" s="7">
        <v>2014.25</v>
      </c>
      <c r="D24" s="1">
        <v>0.92896992505530807</v>
      </c>
      <c r="E24" s="7">
        <v>2014.25</v>
      </c>
      <c r="F24" s="1">
        <v>0.96481576840138994</v>
      </c>
      <c r="G24" s="7">
        <v>2014.25</v>
      </c>
      <c r="H24" s="1">
        <v>0.97036058641284684</v>
      </c>
      <c r="I24" s="7">
        <v>2014.25</v>
      </c>
      <c r="J24" s="1">
        <v>0.96427389104929828</v>
      </c>
      <c r="L24" s="1">
        <f t="shared" si="0"/>
        <v>0.95710504272971086</v>
      </c>
      <c r="M24" s="1"/>
      <c r="N24" s="8">
        <v>1995</v>
      </c>
      <c r="O24" s="1">
        <f t="shared" si="1"/>
        <v>1.0262815812399124</v>
      </c>
      <c r="P24" s="1"/>
      <c r="Q24" s="7">
        <f t="shared" si="2"/>
        <v>-2.7306897779038781</v>
      </c>
      <c r="R24" s="7">
        <f t="shared" si="3"/>
        <v>-0.98733955522490358</v>
      </c>
      <c r="S24" s="7">
        <f t="shared" si="12"/>
        <v>-1.7235092495800561</v>
      </c>
      <c r="T24" s="7">
        <f t="shared" si="5"/>
        <v>-1.8845796578008933</v>
      </c>
      <c r="U24" s="1"/>
      <c r="V24" s="7">
        <f t="shared" si="6"/>
        <v>-1.8315295601274328</v>
      </c>
      <c r="W24" s="1"/>
      <c r="X24" s="1"/>
      <c r="Y24" s="1"/>
      <c r="Z24" s="1"/>
      <c r="AF24" s="7">
        <f t="shared" si="8"/>
        <v>-2.0515906413388301</v>
      </c>
      <c r="AI24" s="8">
        <v>1995</v>
      </c>
      <c r="AJ24" s="1">
        <v>1.0262910243705738</v>
      </c>
      <c r="AL24" s="8">
        <v>1995</v>
      </c>
      <c r="AM24" s="1">
        <f t="shared" si="9"/>
        <v>0.99510030725255716</v>
      </c>
      <c r="AO24" s="8">
        <v>1995</v>
      </c>
      <c r="AP24" s="1">
        <v>1.06374349171047</v>
      </c>
      <c r="AR24" s="8">
        <v>1995</v>
      </c>
      <c r="AS24" s="1">
        <v>1.019991501626049</v>
      </c>
      <c r="AU24" s="1">
        <f t="shared" si="10"/>
        <v>1.0262815812399126</v>
      </c>
    </row>
    <row r="25" spans="1:47" x14ac:dyDescent="0.35">
      <c r="A25" t="s">
        <v>38</v>
      </c>
      <c r="B25">
        <v>2014</v>
      </c>
      <c r="C25" s="7">
        <v>2014.1666666666665</v>
      </c>
      <c r="D25" s="1">
        <v>0.92214932272655969</v>
      </c>
      <c r="E25" s="7">
        <v>2014.1666666666665</v>
      </c>
      <c r="F25" s="1">
        <v>0.96626861408175535</v>
      </c>
      <c r="G25" s="7">
        <v>2014.1666666666665</v>
      </c>
      <c r="H25" s="1">
        <v>0.97454564658666065</v>
      </c>
      <c r="I25" s="7">
        <v>2014.1666666666665</v>
      </c>
      <c r="J25" s="1">
        <v>0.96937389201051427</v>
      </c>
      <c r="L25" s="1">
        <f t="shared" si="0"/>
        <v>0.95808436885137249</v>
      </c>
      <c r="M25" s="1"/>
      <c r="N25" s="8">
        <v>1994</v>
      </c>
      <c r="O25" s="1">
        <f t="shared" si="1"/>
        <v>1.0216238326137981</v>
      </c>
      <c r="P25" s="1"/>
      <c r="Q25" s="7">
        <f t="shared" si="2"/>
        <v>-2.9596442444006952</v>
      </c>
      <c r="R25" s="7">
        <f t="shared" si="3"/>
        <v>-0.94259199811097427</v>
      </c>
      <c r="S25" s="7">
        <f t="shared" si="12"/>
        <v>-1.6063261840730128</v>
      </c>
      <c r="T25" s="7">
        <f t="shared" si="5"/>
        <v>-1.7252024548600915</v>
      </c>
      <c r="U25" s="1"/>
      <c r="V25" s="7">
        <f t="shared" si="6"/>
        <v>-1.8084412203611935</v>
      </c>
      <c r="W25" s="1"/>
      <c r="X25" s="1"/>
      <c r="Y25" s="1"/>
      <c r="Z25" s="1"/>
      <c r="AF25" s="7">
        <f t="shared" si="8"/>
        <v>-2.0187192259812687</v>
      </c>
      <c r="AI25" s="8">
        <v>1994</v>
      </c>
      <c r="AJ25" s="1">
        <v>1.014046935199634</v>
      </c>
      <c r="AL25" s="8">
        <v>1994</v>
      </c>
      <c r="AM25" s="1">
        <f t="shared" si="9"/>
        <v>0.98713687513472304</v>
      </c>
      <c r="AO25" s="8">
        <v>1994</v>
      </c>
      <c r="AP25" s="1">
        <v>1.0808002385667685</v>
      </c>
      <c r="AR25" s="8">
        <v>1994</v>
      </c>
      <c r="AS25" s="1">
        <v>1.0045112815540669</v>
      </c>
      <c r="AU25" s="1">
        <f t="shared" si="10"/>
        <v>1.0216238326137981</v>
      </c>
    </row>
    <row r="26" spans="1:47" x14ac:dyDescent="0.35">
      <c r="A26" t="s">
        <v>36</v>
      </c>
      <c r="B26">
        <v>2014</v>
      </c>
      <c r="C26" s="7">
        <v>2014.0833333333333</v>
      </c>
      <c r="D26" s="1">
        <v>0.94410295375503805</v>
      </c>
      <c r="E26" s="7">
        <v>2014.0833333333333</v>
      </c>
      <c r="F26" s="1">
        <v>0.98151363290239169</v>
      </c>
      <c r="G26" s="7">
        <v>2014.0833333333333</v>
      </c>
      <c r="H26" s="1">
        <v>0.99119633413205421</v>
      </c>
      <c r="I26" s="7">
        <v>2014.0833333333333</v>
      </c>
      <c r="J26" s="1">
        <v>0.98275345047166596</v>
      </c>
      <c r="L26" s="1">
        <f t="shared" si="0"/>
        <v>0.97489159281528748</v>
      </c>
      <c r="M26" s="1"/>
      <c r="N26" s="8">
        <v>1993</v>
      </c>
      <c r="O26" s="1">
        <f t="shared" si="1"/>
        <v>1.0191502291310186</v>
      </c>
      <c r="P26" s="1"/>
      <c r="Q26" s="7">
        <f t="shared" si="2"/>
        <v>-2.2227031888274382</v>
      </c>
      <c r="R26" s="7">
        <f t="shared" si="3"/>
        <v>-0.47304636115951676</v>
      </c>
      <c r="S26" s="7">
        <f t="shared" si="12"/>
        <v>-1.1401014397843128</v>
      </c>
      <c r="T26" s="7">
        <f t="shared" si="5"/>
        <v>-1.3070855524638871</v>
      </c>
      <c r="U26" s="1"/>
      <c r="V26" s="7">
        <f t="shared" si="6"/>
        <v>-1.2857341355587886</v>
      </c>
      <c r="W26" s="1"/>
      <c r="X26" s="1"/>
      <c r="Y26" s="1"/>
      <c r="Z26" s="1"/>
      <c r="AF26" s="7">
        <f t="shared" si="8"/>
        <v>-1.4545790200731301</v>
      </c>
      <c r="AI26" s="8">
        <v>1993</v>
      </c>
      <c r="AJ26" s="1">
        <v>1.0211957853677391</v>
      </c>
      <c r="AL26" s="8">
        <v>1993</v>
      </c>
      <c r="AM26" s="1">
        <f t="shared" si="9"/>
        <v>1.000739716826186</v>
      </c>
      <c r="AO26" s="8">
        <v>1993</v>
      </c>
      <c r="AP26" s="1">
        <v>1.0433494780202011</v>
      </c>
      <c r="AR26" s="8">
        <v>1993</v>
      </c>
      <c r="AS26" s="1">
        <v>1.0113159363099482</v>
      </c>
      <c r="AU26" s="1">
        <f t="shared" si="10"/>
        <v>1.0191502291310186</v>
      </c>
    </row>
    <row r="27" spans="1:47" x14ac:dyDescent="0.35">
      <c r="A27" t="s">
        <v>34</v>
      </c>
      <c r="B27">
        <v>2014</v>
      </c>
      <c r="C27" s="7">
        <v>2014</v>
      </c>
      <c r="D27" s="1">
        <v>0.98520081630668321</v>
      </c>
      <c r="E27" s="7">
        <v>2014</v>
      </c>
      <c r="F27" s="1">
        <v>0.99647314811472298</v>
      </c>
      <c r="G27" s="7">
        <v>2014</v>
      </c>
      <c r="H27" s="1">
        <v>0.99950874762615194</v>
      </c>
      <c r="I27" s="7">
        <v>2014</v>
      </c>
      <c r="J27" s="1">
        <v>1.0026668603950213</v>
      </c>
      <c r="L27" s="1">
        <f t="shared" si="0"/>
        <v>0.99596239311064494</v>
      </c>
      <c r="M27" s="1"/>
      <c r="N27" s="8">
        <v>1992</v>
      </c>
      <c r="O27" s="1">
        <f t="shared" si="1"/>
        <v>1.0100228125890418</v>
      </c>
      <c r="P27" s="1"/>
      <c r="Q27" s="7">
        <f t="shared" si="2"/>
        <v>-0.84312720108646044</v>
      </c>
      <c r="R27" s="7">
        <f t="shared" si="3"/>
        <v>-1.2294217688832315E-2</v>
      </c>
      <c r="S27" s="7">
        <f t="shared" si="12"/>
        <v>-0.90735111970640114</v>
      </c>
      <c r="T27" s="7">
        <f t="shared" si="5"/>
        <v>-0.6847830080656867</v>
      </c>
      <c r="U27" s="1"/>
      <c r="V27" s="7">
        <f t="shared" si="6"/>
        <v>-0.61188888663684515</v>
      </c>
      <c r="W27" s="1"/>
      <c r="X27" s="1"/>
      <c r="Y27" s="1"/>
      <c r="Z27" s="1"/>
      <c r="AF27" s="7">
        <f t="shared" si="8"/>
        <v>-0.74733042013816742</v>
      </c>
      <c r="AI27" s="8">
        <v>1992</v>
      </c>
      <c r="AJ27" s="1">
        <v>0.99601900989350367</v>
      </c>
      <c r="AL27" s="8">
        <v>1992</v>
      </c>
      <c r="AM27" s="1">
        <f t="shared" si="9"/>
        <v>0.99141265481743801</v>
      </c>
      <c r="AO27" s="8">
        <v>1992</v>
      </c>
      <c r="AP27" s="1">
        <v>1.0356615667642108</v>
      </c>
      <c r="AR27" s="8">
        <v>1992</v>
      </c>
      <c r="AS27" s="1">
        <v>1.016998018881015</v>
      </c>
      <c r="AU27" s="1">
        <f t="shared" si="10"/>
        <v>1.010022812589042</v>
      </c>
    </row>
    <row r="28" spans="1:47" x14ac:dyDescent="0.35">
      <c r="A28" t="s">
        <v>33</v>
      </c>
      <c r="B28">
        <v>2013</v>
      </c>
      <c r="C28" s="7">
        <v>2013.9166666666665</v>
      </c>
      <c r="D28" s="1">
        <v>0.99324757467059643</v>
      </c>
      <c r="E28" s="7">
        <v>2013.9166666666665</v>
      </c>
      <c r="F28" s="1">
        <v>0.99701952762608914</v>
      </c>
      <c r="G28" s="7">
        <v>2013.9166666666665</v>
      </c>
      <c r="H28" s="1">
        <v>1.000084532488503</v>
      </c>
      <c r="I28" s="7">
        <v>2013.9166666666665</v>
      </c>
      <c r="J28" s="1">
        <v>1.0119719743117133</v>
      </c>
      <c r="L28" s="1">
        <f t="shared" si="0"/>
        <v>1.0005809022742254</v>
      </c>
      <c r="M28" s="1"/>
      <c r="N28" s="8">
        <v>1991</v>
      </c>
      <c r="O28" s="1">
        <f t="shared" si="1"/>
        <v>1.0245550823069236</v>
      </c>
      <c r="P28" s="1"/>
      <c r="Q28" s="7">
        <f t="shared" si="2"/>
        <v>-0.57301304115762064</v>
      </c>
      <c r="R28" s="7">
        <f t="shared" si="3"/>
        <v>4.5342374741334937E-3</v>
      </c>
      <c r="S28" s="7">
        <f t="shared" si="12"/>
        <v>-0.89122895361067056</v>
      </c>
      <c r="T28" s="7">
        <f t="shared" si="5"/>
        <v>-0.39399423363880898</v>
      </c>
      <c r="U28" s="1"/>
      <c r="V28" s="7">
        <f t="shared" si="6"/>
        <v>-0.46342549773324165</v>
      </c>
      <c r="W28" s="1"/>
      <c r="X28" s="1"/>
      <c r="Y28" s="1"/>
      <c r="Z28" s="1"/>
      <c r="AF28" s="7">
        <f t="shared" si="8"/>
        <v>-0.59230858452005175</v>
      </c>
      <c r="AI28" s="8">
        <v>1991</v>
      </c>
      <c r="AJ28" s="1">
        <v>1.0177522363231502</v>
      </c>
      <c r="AL28" s="8">
        <v>1991</v>
      </c>
      <c r="AM28" s="1">
        <f t="shared" si="9"/>
        <v>0.99941927477764914</v>
      </c>
      <c r="AO28" s="8">
        <v>1991</v>
      </c>
      <c r="AP28" s="1">
        <v>1.0472074748285183</v>
      </c>
      <c r="AR28" s="8">
        <v>1991</v>
      </c>
      <c r="AS28" s="1">
        <v>1.0338413432983771</v>
      </c>
      <c r="AU28" s="1">
        <f t="shared" si="10"/>
        <v>1.0245550823069236</v>
      </c>
    </row>
    <row r="29" spans="1:47" x14ac:dyDescent="0.35">
      <c r="A29" t="s">
        <v>35</v>
      </c>
      <c r="B29">
        <v>2013</v>
      </c>
      <c r="C29" s="7">
        <v>2013.8333333333333</v>
      </c>
      <c r="D29" s="1">
        <v>0.98522718338472948</v>
      </c>
      <c r="E29" s="7">
        <v>2013.8333333333333</v>
      </c>
      <c r="F29" s="1">
        <v>0.99096219984930578</v>
      </c>
      <c r="G29" s="7">
        <v>2013.8333333333333</v>
      </c>
      <c r="H29" s="1">
        <v>0.99334680268064057</v>
      </c>
      <c r="I29" s="7">
        <v>2013.8333333333333</v>
      </c>
      <c r="J29" s="1">
        <v>1.0116054996570769</v>
      </c>
      <c r="L29" s="1">
        <f t="shared" si="0"/>
        <v>0.99528542139293819</v>
      </c>
      <c r="M29" s="1"/>
      <c r="N29" s="8">
        <v>1990</v>
      </c>
      <c r="O29" s="1">
        <f t="shared" si="1"/>
        <v>1.0400480319820951</v>
      </c>
      <c r="P29" s="1"/>
      <c r="Q29" s="7">
        <f t="shared" si="2"/>
        <v>-0.84224210912592823</v>
      </c>
      <c r="R29" s="7">
        <f t="shared" si="3"/>
        <v>-0.18203108347669897</v>
      </c>
      <c r="S29" s="7">
        <f t="shared" si="12"/>
        <v>-1.0798876109900215</v>
      </c>
      <c r="T29" s="7">
        <f t="shared" si="5"/>
        <v>-0.40544672273612703</v>
      </c>
      <c r="U29" s="1"/>
      <c r="V29" s="7">
        <f t="shared" si="6"/>
        <v>-0.6274018815821939</v>
      </c>
      <c r="W29" s="1"/>
      <c r="X29" s="1"/>
      <c r="Y29" s="1"/>
      <c r="Z29" s="1"/>
      <c r="AF29" s="7">
        <f t="shared" si="8"/>
        <v>-0.7700532067828284</v>
      </c>
      <c r="AI29" s="8">
        <v>1990</v>
      </c>
      <c r="AJ29" s="1">
        <v>1.0231765166197329</v>
      </c>
      <c r="AL29" s="8">
        <v>1990</v>
      </c>
      <c r="AM29" s="1">
        <f t="shared" si="9"/>
        <v>1.0126509755740447</v>
      </c>
      <c r="AO29" s="8">
        <v>1990</v>
      </c>
      <c r="AP29" s="1">
        <v>1.0688567832431002</v>
      </c>
      <c r="AR29" s="8">
        <v>1990</v>
      </c>
      <c r="AS29" s="1">
        <v>1.055507852491502</v>
      </c>
      <c r="AU29" s="1">
        <f t="shared" si="10"/>
        <v>1.0400480319820948</v>
      </c>
    </row>
    <row r="30" spans="1:47" x14ac:dyDescent="0.35">
      <c r="A30" t="s">
        <v>37</v>
      </c>
      <c r="B30">
        <v>2013</v>
      </c>
      <c r="C30" s="7">
        <v>2013.75</v>
      </c>
      <c r="D30" s="1">
        <v>0.985384199452079</v>
      </c>
      <c r="E30" s="7">
        <v>2013.75</v>
      </c>
      <c r="F30" s="1">
        <v>0.98564127577950078</v>
      </c>
      <c r="G30" s="7">
        <v>2013.75</v>
      </c>
      <c r="H30" s="1">
        <v>0.98684717763953811</v>
      </c>
      <c r="I30" s="7">
        <v>2013.75</v>
      </c>
      <c r="J30" s="1">
        <v>1.0137399946338419</v>
      </c>
      <c r="L30" s="1">
        <f t="shared" si="0"/>
        <v>0.99290316187624006</v>
      </c>
      <c r="M30" s="1"/>
      <c r="N30" s="8">
        <v>1989</v>
      </c>
      <c r="O30" s="1">
        <f t="shared" si="1"/>
        <v>1.0391242516739645</v>
      </c>
      <c r="P30" s="1"/>
      <c r="Q30" s="7">
        <f t="shared" si="2"/>
        <v>-0.83697138255389014</v>
      </c>
      <c r="R30" s="7">
        <f t="shared" si="3"/>
        <v>-0.3459152157904592</v>
      </c>
      <c r="S30" s="7">
        <f t="shared" si="12"/>
        <v>-1.261879256349961</v>
      </c>
      <c r="T30" s="7">
        <f t="shared" si="5"/>
        <v>-0.33874284529080112</v>
      </c>
      <c r="U30" s="1"/>
      <c r="V30" s="7">
        <f t="shared" si="6"/>
        <v>-0.69587717499627788</v>
      </c>
      <c r="W30" s="1"/>
      <c r="X30" s="1"/>
      <c r="Y30" s="1"/>
      <c r="Z30" s="1"/>
      <c r="AF30" s="7">
        <f t="shared" si="8"/>
        <v>-0.85001456013672616</v>
      </c>
      <c r="AI30" s="8">
        <v>1989</v>
      </c>
      <c r="AJ30" s="1">
        <v>1.0322582026056553</v>
      </c>
      <c r="AL30" s="8">
        <v>1989</v>
      </c>
      <c r="AM30" s="1">
        <f t="shared" si="9"/>
        <v>1.0012584665046298</v>
      </c>
      <c r="AO30" s="8">
        <v>1989</v>
      </c>
      <c r="AP30" s="1">
        <v>1.0771244953476358</v>
      </c>
      <c r="AR30" s="8">
        <v>1989</v>
      </c>
      <c r="AS30" s="1">
        <v>1.0458558422379369</v>
      </c>
      <c r="AU30" s="1">
        <f t="shared" si="10"/>
        <v>1.0391242516739645</v>
      </c>
    </row>
    <row r="31" spans="1:47" x14ac:dyDescent="0.35">
      <c r="A31" t="s">
        <v>39</v>
      </c>
      <c r="B31">
        <v>2013</v>
      </c>
      <c r="C31" s="7">
        <v>2013.6666666666665</v>
      </c>
      <c r="D31" s="1">
        <v>0.98713637226563189</v>
      </c>
      <c r="E31" s="7">
        <v>2013.6666666666665</v>
      </c>
      <c r="F31" s="1">
        <v>0.98486051161521126</v>
      </c>
      <c r="G31" s="7">
        <v>2013.6666666666665</v>
      </c>
      <c r="H31" s="1">
        <v>0.97499433471503105</v>
      </c>
      <c r="I31" s="7">
        <v>2013.6666666666665</v>
      </c>
      <c r="J31" s="1">
        <v>1.0120479128978472</v>
      </c>
      <c r="L31" s="1">
        <f t="shared" si="0"/>
        <v>0.98975978287343036</v>
      </c>
      <c r="M31" s="1"/>
      <c r="N31" s="8">
        <v>1988</v>
      </c>
      <c r="O31" s="1">
        <f t="shared" si="1"/>
        <v>1.0333869706461523</v>
      </c>
      <c r="P31" s="1"/>
      <c r="Q31" s="7">
        <f t="shared" si="2"/>
        <v>-0.77815432030612741</v>
      </c>
      <c r="R31" s="7">
        <f t="shared" si="3"/>
        <v>-0.36996270376954526</v>
      </c>
      <c r="S31" s="7">
        <f t="shared" si="12"/>
        <v>-1.5937627684576174</v>
      </c>
      <c r="T31" s="7">
        <f t="shared" si="5"/>
        <v>-0.39162112046778202</v>
      </c>
      <c r="U31" s="1"/>
      <c r="V31" s="7">
        <f t="shared" si="6"/>
        <v>-0.78337522825026806</v>
      </c>
      <c r="W31" s="1"/>
      <c r="X31" s="1"/>
      <c r="Y31" s="1"/>
      <c r="Z31" s="1"/>
      <c r="AF31" s="7">
        <f t="shared" si="8"/>
        <v>-0.95552314868767674</v>
      </c>
      <c r="AI31" s="8">
        <v>1988</v>
      </c>
      <c r="AJ31" s="1">
        <v>1.0370541024511952</v>
      </c>
      <c r="AL31" s="8">
        <v>1988</v>
      </c>
      <c r="AM31" s="1">
        <f t="shared" si="9"/>
        <v>0.99778104285946689</v>
      </c>
      <c r="AO31" s="8">
        <v>1988</v>
      </c>
      <c r="AP31" s="1">
        <v>1.0564358178205897</v>
      </c>
      <c r="AR31" s="8">
        <v>1988</v>
      </c>
      <c r="AS31" s="1">
        <v>1.0422769194533579</v>
      </c>
      <c r="AU31" s="1">
        <f t="shared" si="10"/>
        <v>1.0333869706461525</v>
      </c>
    </row>
    <row r="32" spans="1:47" x14ac:dyDescent="0.35">
      <c r="A32" t="s">
        <v>41</v>
      </c>
      <c r="B32">
        <v>2013</v>
      </c>
      <c r="C32" s="7">
        <v>2013.5833333333333</v>
      </c>
      <c r="D32" s="1">
        <v>0.96960913731017684</v>
      </c>
      <c r="E32" s="7">
        <v>2013.5833333333333</v>
      </c>
      <c r="F32" s="1">
        <v>0.98276481038156249</v>
      </c>
      <c r="G32" s="7">
        <v>2013.5833333333333</v>
      </c>
      <c r="H32" s="1">
        <v>0.97411840210730227</v>
      </c>
      <c r="I32" s="7">
        <v>2013.5833333333333</v>
      </c>
      <c r="J32" s="1">
        <v>0.99931358173576734</v>
      </c>
      <c r="L32" s="1">
        <f t="shared" si="0"/>
        <v>0.98145148288370232</v>
      </c>
      <c r="M32" s="1"/>
      <c r="N32" s="8">
        <v>1987</v>
      </c>
      <c r="O32" s="1">
        <f t="shared" si="1"/>
        <v>1.0173868772520536</v>
      </c>
      <c r="P32" s="1"/>
      <c r="Q32" s="7">
        <f t="shared" si="2"/>
        <v>-1.3665097961086556</v>
      </c>
      <c r="R32" s="7">
        <f t="shared" si="3"/>
        <v>-0.43451017217158783</v>
      </c>
      <c r="S32" s="7">
        <f t="shared" si="12"/>
        <v>-1.6182891704418685</v>
      </c>
      <c r="T32" s="7">
        <f t="shared" si="5"/>
        <v>-0.78957439486290615</v>
      </c>
      <c r="U32" s="1"/>
      <c r="V32" s="7">
        <f t="shared" si="6"/>
        <v>-1.0522208833962545</v>
      </c>
      <c r="W32" s="1"/>
      <c r="X32" s="1"/>
      <c r="Y32" s="1"/>
      <c r="Z32" s="1"/>
      <c r="AF32" s="7">
        <f t="shared" si="8"/>
        <v>-1.234394072108155</v>
      </c>
      <c r="AI32" s="8">
        <v>1987</v>
      </c>
      <c r="AJ32" s="1">
        <v>1.0229430474254211</v>
      </c>
      <c r="AL32" s="8">
        <v>1987</v>
      </c>
      <c r="AM32" s="1">
        <f t="shared" si="9"/>
        <v>0.9995834308196665</v>
      </c>
      <c r="AO32" s="8">
        <v>1987</v>
      </c>
      <c r="AP32" s="1">
        <v>1.0345060980047516</v>
      </c>
      <c r="AR32" s="8">
        <v>1987</v>
      </c>
      <c r="AS32" s="1">
        <v>1.0125149327583742</v>
      </c>
      <c r="AU32" s="1">
        <f t="shared" si="10"/>
        <v>1.0173868772520533</v>
      </c>
    </row>
    <row r="33" spans="1:47" x14ac:dyDescent="0.35">
      <c r="A33" t="s">
        <v>43</v>
      </c>
      <c r="B33">
        <v>2013</v>
      </c>
      <c r="C33" s="7">
        <v>2013.5</v>
      </c>
      <c r="D33" s="1">
        <v>0.95480151509553401</v>
      </c>
      <c r="E33" s="7">
        <v>2013.5</v>
      </c>
      <c r="F33" s="1">
        <v>0.97840363425906851</v>
      </c>
      <c r="G33" s="7">
        <v>2013.5</v>
      </c>
      <c r="H33" s="1">
        <v>0.9709525771443509</v>
      </c>
      <c r="I33" s="7">
        <v>2013.5</v>
      </c>
      <c r="J33" s="1">
        <v>0.98338118343315883</v>
      </c>
      <c r="L33" s="1">
        <f t="shared" si="0"/>
        <v>0.97188472748302812</v>
      </c>
      <c r="M33" s="1"/>
      <c r="N33" s="8">
        <v>1986</v>
      </c>
      <c r="O33" s="1">
        <f t="shared" si="1"/>
        <v>1.021310068747119</v>
      </c>
      <c r="P33" s="1"/>
      <c r="Q33" s="7">
        <f t="shared" si="2"/>
        <v>-1.8635731170341712</v>
      </c>
      <c r="R33" s="7">
        <f t="shared" si="3"/>
        <v>-0.56883412705723024</v>
      </c>
      <c r="S33" s="7">
        <f t="shared" si="12"/>
        <v>-1.7069333138017695</v>
      </c>
      <c r="T33" s="7">
        <f t="shared" si="5"/>
        <v>-1.2874686299657732</v>
      </c>
      <c r="U33" s="1"/>
      <c r="V33" s="7">
        <f t="shared" si="6"/>
        <v>-1.356702296964736</v>
      </c>
      <c r="W33" s="1"/>
      <c r="X33" s="1"/>
      <c r="Y33" s="1"/>
      <c r="Z33" s="1"/>
      <c r="AF33" s="7">
        <f t="shared" si="8"/>
        <v>-1.5555054807022484</v>
      </c>
      <c r="AI33" s="8">
        <v>1986</v>
      </c>
      <c r="AJ33" s="1">
        <v>1.0263941015604916</v>
      </c>
      <c r="AL33" s="8">
        <v>1986</v>
      </c>
      <c r="AM33" s="1">
        <f t="shared" si="9"/>
        <v>0.99598972352040283</v>
      </c>
      <c r="AO33" s="8">
        <v>1986</v>
      </c>
      <c r="AP33" s="1">
        <v>1.0559060925094481</v>
      </c>
      <c r="AR33" s="8">
        <v>1986</v>
      </c>
      <c r="AS33" s="1">
        <v>1.0069503573981344</v>
      </c>
      <c r="AU33" s="1">
        <f t="shared" si="10"/>
        <v>1.0213100687471193</v>
      </c>
    </row>
    <row r="34" spans="1:47" x14ac:dyDescent="0.35">
      <c r="A34" t="s">
        <v>44</v>
      </c>
      <c r="B34">
        <v>2013</v>
      </c>
      <c r="C34" s="7">
        <v>2013.4166666666665</v>
      </c>
      <c r="D34" s="1">
        <v>0.9390164449496895</v>
      </c>
      <c r="E34" s="7">
        <v>2013.4166666666665</v>
      </c>
      <c r="F34" s="1">
        <v>0.97029020355380469</v>
      </c>
      <c r="G34" s="7">
        <v>2013.4166666666665</v>
      </c>
      <c r="H34" s="1">
        <v>0.96754729083417468</v>
      </c>
      <c r="I34" s="7">
        <v>2013.4166666666665</v>
      </c>
      <c r="J34" s="1">
        <v>0.96058888919144181</v>
      </c>
      <c r="L34" s="1">
        <f t="shared" si="0"/>
        <v>0.95936070713227761</v>
      </c>
      <c r="M34" s="1"/>
      <c r="N34" s="8">
        <v>1985</v>
      </c>
      <c r="O34" s="1">
        <f t="shared" si="1"/>
        <v>1.0182797800683616</v>
      </c>
      <c r="P34" s="1"/>
      <c r="Q34" s="7">
        <f t="shared" si="2"/>
        <v>-2.3934474799806291</v>
      </c>
      <c r="R34" s="7">
        <f t="shared" si="3"/>
        <v>-0.81872729105960829</v>
      </c>
      <c r="S34" s="7">
        <f t="shared" si="12"/>
        <v>-1.80228245388163</v>
      </c>
      <c r="T34" s="7">
        <f t="shared" si="5"/>
        <v>-1.999737535888193</v>
      </c>
      <c r="U34" s="1"/>
      <c r="V34" s="7">
        <f t="shared" si="6"/>
        <v>-1.7535486902025152</v>
      </c>
      <c r="W34" s="1"/>
      <c r="X34" s="1"/>
      <c r="Y34" s="1"/>
      <c r="Z34" s="1"/>
      <c r="AF34" s="7">
        <f t="shared" si="8"/>
        <v>-1.9758784961769797</v>
      </c>
      <c r="AI34" s="8">
        <v>1985</v>
      </c>
      <c r="AJ34" s="1">
        <v>1.0278383773187232</v>
      </c>
      <c r="AL34" s="8">
        <v>1985</v>
      </c>
      <c r="AM34" s="1">
        <f t="shared" si="9"/>
        <v>0.99653675886121107</v>
      </c>
      <c r="AO34" s="8">
        <v>1985</v>
      </c>
      <c r="AP34" s="1">
        <v>1.0459262770357936</v>
      </c>
      <c r="AR34" s="8">
        <v>1985</v>
      </c>
      <c r="AS34" s="1">
        <v>1.0028177070577182</v>
      </c>
      <c r="AU34" s="1">
        <f t="shared" si="10"/>
        <v>1.0182797800683614</v>
      </c>
    </row>
    <row r="35" spans="1:47" x14ac:dyDescent="0.35">
      <c r="A35" t="s">
        <v>42</v>
      </c>
      <c r="B35">
        <v>2013</v>
      </c>
      <c r="C35" s="7">
        <v>2013.3333333333333</v>
      </c>
      <c r="D35" s="1">
        <v>0.92873806653027691</v>
      </c>
      <c r="E35" s="7">
        <v>2013.3333333333333</v>
      </c>
      <c r="F35" s="1">
        <v>0.95890911018044478</v>
      </c>
      <c r="G35" s="7">
        <v>2013.3333333333333</v>
      </c>
      <c r="H35" s="1">
        <v>0.96746037613344704</v>
      </c>
      <c r="I35" s="7">
        <v>2013.3333333333333</v>
      </c>
      <c r="J35" s="1">
        <v>0.95356489867989525</v>
      </c>
      <c r="L35" s="1">
        <f t="shared" si="0"/>
        <v>0.95216811288101599</v>
      </c>
      <c r="M35" s="1"/>
      <c r="N35" s="8">
        <v>1984</v>
      </c>
      <c r="O35" s="1">
        <f t="shared" si="1"/>
        <v>1.0234561301447291</v>
      </c>
      <c r="P35" s="1"/>
      <c r="Q35" s="7">
        <f t="shared" si="2"/>
        <v>-2.7384728214449883</v>
      </c>
      <c r="R35" s="7">
        <f t="shared" si="3"/>
        <v>-1.1692642631730499</v>
      </c>
      <c r="S35" s="7">
        <f t="shared" si="12"/>
        <v>-1.8047160941749332</v>
      </c>
      <c r="T35" s="7">
        <f t="shared" si="5"/>
        <v>-2.2192402320104523</v>
      </c>
      <c r="U35" s="1"/>
      <c r="V35" s="7">
        <f t="shared" si="6"/>
        <v>-1.9829233527008561</v>
      </c>
      <c r="W35" s="1"/>
      <c r="X35" s="1"/>
      <c r="Y35" s="1"/>
      <c r="Z35" s="1"/>
      <c r="AF35" s="7">
        <f t="shared" si="8"/>
        <v>-2.2173003758777643</v>
      </c>
      <c r="AI35" s="8">
        <v>1984</v>
      </c>
      <c r="AJ35" s="1">
        <v>1.0456470888381932</v>
      </c>
      <c r="AL35" s="8">
        <v>1984</v>
      </c>
      <c r="AM35" s="1">
        <f t="shared" si="9"/>
        <v>1.0080459566132856</v>
      </c>
      <c r="AO35" s="8">
        <v>1984</v>
      </c>
      <c r="AP35" s="1">
        <v>1.0355055320297037</v>
      </c>
      <c r="AR35" s="8">
        <v>1984</v>
      </c>
      <c r="AS35" s="1">
        <v>1.0046259430977349</v>
      </c>
      <c r="AU35" s="1">
        <f t="shared" si="10"/>
        <v>1.0234561301447294</v>
      </c>
    </row>
    <row r="36" spans="1:47" x14ac:dyDescent="0.35">
      <c r="A36" t="s">
        <v>40</v>
      </c>
      <c r="B36">
        <v>2013</v>
      </c>
      <c r="C36" s="7">
        <v>2013.25</v>
      </c>
      <c r="D36" s="1">
        <v>0.92586845154425768</v>
      </c>
      <c r="E36" s="7">
        <v>2013.25</v>
      </c>
      <c r="F36" s="1">
        <v>0.94219585880341272</v>
      </c>
      <c r="G36" s="7">
        <v>2013.25</v>
      </c>
      <c r="H36" s="1">
        <v>0.96516490453175141</v>
      </c>
      <c r="I36" s="7">
        <v>2013.25</v>
      </c>
      <c r="J36" s="1">
        <v>0.9475360243261447</v>
      </c>
      <c r="L36" s="1">
        <f t="shared" si="0"/>
        <v>0.94519130980139165</v>
      </c>
      <c r="M36" s="1"/>
      <c r="N36" s="8">
        <v>1983</v>
      </c>
      <c r="O36" s="1">
        <f t="shared" si="1"/>
        <v>1.0126806368126817</v>
      </c>
      <c r="P36" s="1"/>
      <c r="Q36" s="7">
        <f t="shared" si="2"/>
        <v>-2.8348002624110227</v>
      </c>
      <c r="R36" s="7">
        <f t="shared" si="3"/>
        <v>-1.6840313720686737</v>
      </c>
      <c r="S36" s="7">
        <f t="shared" si="12"/>
        <v>-1.8689900562924069</v>
      </c>
      <c r="T36" s="7">
        <f t="shared" si="5"/>
        <v>-2.4076451242230994</v>
      </c>
      <c r="U36" s="1"/>
      <c r="V36" s="7">
        <f t="shared" si="6"/>
        <v>-2.1988667037488008</v>
      </c>
      <c r="W36" s="1"/>
      <c r="X36" s="1"/>
      <c r="Y36" s="1"/>
      <c r="Z36" s="1"/>
      <c r="AF36" s="7">
        <f t="shared" si="8"/>
        <v>-2.4514791512882752</v>
      </c>
      <c r="AI36" s="8">
        <v>1983</v>
      </c>
      <c r="AJ36" s="1">
        <v>1.0171870317118665</v>
      </c>
      <c r="AL36" s="8">
        <v>1983</v>
      </c>
      <c r="AM36" s="1">
        <f t="shared" si="9"/>
        <v>0.99788210212448891</v>
      </c>
      <c r="AO36" s="8">
        <v>1983</v>
      </c>
      <c r="AP36" s="1">
        <v>1.0136199603801932</v>
      </c>
      <c r="AR36" s="8">
        <v>1983</v>
      </c>
      <c r="AS36" s="1">
        <v>1.0220334530341788</v>
      </c>
      <c r="AU36" s="1">
        <f t="shared" si="10"/>
        <v>1.0126806368126817</v>
      </c>
    </row>
    <row r="37" spans="1:47" x14ac:dyDescent="0.35">
      <c r="A37" t="s">
        <v>38</v>
      </c>
      <c r="B37">
        <v>2013</v>
      </c>
      <c r="C37" s="7">
        <v>2013.1666666666665</v>
      </c>
      <c r="D37" s="1">
        <v>0.93418533283428662</v>
      </c>
      <c r="E37" s="7">
        <v>2013.1666666666665</v>
      </c>
      <c r="F37" s="1">
        <v>0.9461404459433792</v>
      </c>
      <c r="G37" s="7">
        <v>2013.1666666666665</v>
      </c>
      <c r="H37" s="1">
        <v>0.96711601193318675</v>
      </c>
      <c r="I37" s="7">
        <v>2013.1666666666665</v>
      </c>
      <c r="J37" s="1">
        <v>0.94132526441534448</v>
      </c>
      <c r="L37" s="1">
        <f t="shared" si="0"/>
        <v>0.94719176378154923</v>
      </c>
      <c r="M37" s="1"/>
      <c r="N37" s="8">
        <v>1982</v>
      </c>
      <c r="O37" s="1">
        <f t="shared" si="1"/>
        <v>1.0201003764048306</v>
      </c>
      <c r="P37" s="1"/>
      <c r="Q37" s="7">
        <f t="shared" si="2"/>
        <v>-2.5556185967903895</v>
      </c>
      <c r="R37" s="7">
        <f t="shared" si="3"/>
        <v>-1.562538332083776</v>
      </c>
      <c r="S37" s="7">
        <f t="shared" si="12"/>
        <v>-1.8143584053870581</v>
      </c>
      <c r="T37" s="7">
        <f t="shared" si="5"/>
        <v>-2.6017340175875812</v>
      </c>
      <c r="U37" s="1"/>
      <c r="V37" s="7">
        <f t="shared" si="6"/>
        <v>-2.1335623379622013</v>
      </c>
      <c r="W37" s="1"/>
      <c r="X37" s="1"/>
      <c r="Y37" s="1"/>
      <c r="Z37" s="1"/>
      <c r="AF37" s="7">
        <f t="shared" si="8"/>
        <v>-2.384333231016206</v>
      </c>
      <c r="AI37" s="8">
        <v>1982</v>
      </c>
      <c r="AJ37" s="1">
        <v>1.0290533211141146</v>
      </c>
      <c r="AL37" s="8">
        <v>1982</v>
      </c>
      <c r="AM37" s="1">
        <f t="shared" si="9"/>
        <v>0.99305117231312712</v>
      </c>
      <c r="AO37" s="8">
        <v>1982</v>
      </c>
      <c r="AP37" s="1">
        <v>1.034757807544836</v>
      </c>
      <c r="AR37" s="8">
        <v>1982</v>
      </c>
      <c r="AS37" s="1">
        <v>1.0235392046472451</v>
      </c>
      <c r="AU37" s="1">
        <f t="shared" si="10"/>
        <v>1.0201003764048309</v>
      </c>
    </row>
    <row r="38" spans="1:47" x14ac:dyDescent="0.35">
      <c r="A38" t="s">
        <v>36</v>
      </c>
      <c r="B38">
        <v>2013</v>
      </c>
      <c r="C38" s="7">
        <v>2013.0833333333333</v>
      </c>
      <c r="D38" s="1">
        <v>0.96379667879301101</v>
      </c>
      <c r="E38" s="7">
        <v>2013.0833333333333</v>
      </c>
      <c r="F38" s="1">
        <v>0.96217134077574051</v>
      </c>
      <c r="G38" s="7">
        <v>2013.0833333333333</v>
      </c>
      <c r="H38" s="1">
        <v>0.97156046545091879</v>
      </c>
      <c r="I38" s="7">
        <v>2013.0833333333333</v>
      </c>
      <c r="J38" s="1">
        <v>0.94944500927981923</v>
      </c>
      <c r="L38" s="1">
        <f t="shared" si="0"/>
        <v>0.96174337357487238</v>
      </c>
      <c r="M38" s="1"/>
      <c r="N38" s="8">
        <v>1981</v>
      </c>
      <c r="O38" s="1">
        <f t="shared" si="1"/>
        <v>1.0432949961907125</v>
      </c>
      <c r="P38" s="1"/>
      <c r="Q38" s="7">
        <f t="shared" si="2"/>
        <v>-1.5616228190778154</v>
      </c>
      <c r="R38" s="7">
        <f t="shared" si="3"/>
        <v>-1.0687877625683275</v>
      </c>
      <c r="S38" s="7">
        <f t="shared" si="12"/>
        <v>-1.6899122406771279</v>
      </c>
      <c r="T38" s="7">
        <f t="shared" si="5"/>
        <v>-2.3479885310799915</v>
      </c>
      <c r="U38" s="1"/>
      <c r="V38" s="7">
        <f t="shared" si="6"/>
        <v>-1.6670778383508156</v>
      </c>
      <c r="W38" s="1"/>
      <c r="X38" s="1"/>
      <c r="Y38" s="1"/>
      <c r="Z38" s="1"/>
      <c r="AF38" s="7">
        <f t="shared" si="8"/>
        <v>-1.8959034842165436</v>
      </c>
      <c r="AI38" s="8"/>
      <c r="AJ38" s="1"/>
      <c r="AL38" s="8">
        <v>1981</v>
      </c>
      <c r="AM38" s="1">
        <f t="shared" si="9"/>
        <v>1.0091497860238063</v>
      </c>
      <c r="AO38" s="8">
        <v>1981</v>
      </c>
      <c r="AP38" s="1">
        <v>1.0754798073346892</v>
      </c>
      <c r="AR38" s="8">
        <v>1981</v>
      </c>
      <c r="AS38" s="1">
        <v>1.0452553952136423</v>
      </c>
      <c r="AU38" s="1">
        <f t="shared" si="10"/>
        <v>1.0432949961907125</v>
      </c>
    </row>
    <row r="39" spans="1:47" x14ac:dyDescent="0.35">
      <c r="A39" t="s">
        <v>34</v>
      </c>
      <c r="B39">
        <v>2013</v>
      </c>
      <c r="C39" s="7">
        <v>2013</v>
      </c>
      <c r="D39" s="1">
        <v>1.0021070689412741</v>
      </c>
      <c r="E39" s="7">
        <v>2013</v>
      </c>
      <c r="F39" s="1">
        <v>0.97935942363197215</v>
      </c>
      <c r="G39" s="7">
        <v>2013</v>
      </c>
      <c r="H39" s="1">
        <v>0.99827744734375168</v>
      </c>
      <c r="I39" s="7">
        <v>2013</v>
      </c>
      <c r="J39" s="1">
        <v>0.97747678214261047</v>
      </c>
      <c r="L39" s="1">
        <f t="shared" si="0"/>
        <v>0.98930518051490213</v>
      </c>
      <c r="M39" s="1"/>
      <c r="N39" s="8">
        <v>1980</v>
      </c>
      <c r="O39" s="1">
        <f t="shared" si="1"/>
        <v>1.0232769994466615</v>
      </c>
      <c r="P39" s="1"/>
      <c r="Q39" s="7">
        <f t="shared" si="2"/>
        <v>-0.27561690421749119</v>
      </c>
      <c r="R39" s="7">
        <f t="shared" si="3"/>
        <v>-0.53939587347606877</v>
      </c>
      <c r="S39" s="7">
        <f t="shared" si="12"/>
        <v>-0.94182793381630736</v>
      </c>
      <c r="T39" s="7">
        <f t="shared" si="5"/>
        <v>-1.4719836859204471</v>
      </c>
      <c r="U39" s="1"/>
      <c r="V39" s="7">
        <f t="shared" si="6"/>
        <v>-0.8072060993575787</v>
      </c>
      <c r="W39" s="1"/>
      <c r="X39" s="1"/>
      <c r="Y39" s="1"/>
      <c r="Z39" s="1"/>
      <c r="AF39" s="7">
        <f t="shared" si="8"/>
        <v>-0.97078203193318235</v>
      </c>
      <c r="AI39" s="8"/>
      <c r="AJ39" s="1"/>
      <c r="AL39" s="8">
        <v>1980</v>
      </c>
      <c r="AM39" s="1">
        <f t="shared" si="9"/>
        <v>0.991408042068051</v>
      </c>
      <c r="AO39" s="8">
        <v>1980</v>
      </c>
      <c r="AP39" s="1">
        <v>1.0512024580181734</v>
      </c>
      <c r="AR39" s="8">
        <v>1980</v>
      </c>
      <c r="AS39" s="1">
        <v>1.0272204982537601</v>
      </c>
      <c r="AU39" s="1">
        <f t="shared" si="10"/>
        <v>1.0232769994466615</v>
      </c>
    </row>
    <row r="40" spans="1:47" x14ac:dyDescent="0.35">
      <c r="A40" t="s">
        <v>33</v>
      </c>
      <c r="B40">
        <v>2012</v>
      </c>
      <c r="C40" s="7">
        <v>2012.9166666666665</v>
      </c>
      <c r="D40" s="1">
        <v>1.0067743744835318</v>
      </c>
      <c r="E40" s="7">
        <v>2012.9166666666665</v>
      </c>
      <c r="F40" s="1">
        <v>0.98301114824886382</v>
      </c>
      <c r="G40" s="7">
        <v>2012.9166666666665</v>
      </c>
      <c r="H40" s="1">
        <v>1.0103339183133324</v>
      </c>
      <c r="I40" s="7">
        <v>2012.9166666666665</v>
      </c>
      <c r="J40" s="1">
        <v>0.99163237799484938</v>
      </c>
      <c r="L40" s="1">
        <f t="shared" si="0"/>
        <v>0.99793795476014424</v>
      </c>
      <c r="M40" s="1"/>
      <c r="N40" s="8">
        <v>1979</v>
      </c>
      <c r="O40" s="1">
        <f t="shared" si="1"/>
        <v>1.0367164900800383</v>
      </c>
      <c r="P40" s="1"/>
      <c r="Q40" s="7">
        <f t="shared" si="2"/>
        <v>-0.11894445816369155</v>
      </c>
      <c r="R40" s="7">
        <f t="shared" si="3"/>
        <v>-0.42692298109179111</v>
      </c>
      <c r="S40" s="7">
        <f t="shared" si="12"/>
        <v>-0.60424276927023568</v>
      </c>
      <c r="T40" s="7">
        <f t="shared" si="5"/>
        <v>-1.0296152844148252</v>
      </c>
      <c r="U40" s="1"/>
      <c r="V40" s="7">
        <f t="shared" si="6"/>
        <v>-0.54493137323513585</v>
      </c>
      <c r="W40" s="1"/>
      <c r="X40" s="1"/>
      <c r="Y40" s="1"/>
      <c r="Z40" s="1"/>
      <c r="AF40" s="7">
        <f t="shared" si="8"/>
        <v>-0.68102001943632817</v>
      </c>
      <c r="AI40" s="8"/>
      <c r="AJ40" s="1"/>
      <c r="AL40" s="8">
        <v>1979</v>
      </c>
      <c r="AM40" s="1">
        <f t="shared" si="9"/>
        <v>1.0099231898787167</v>
      </c>
      <c r="AO40" s="8">
        <v>1979</v>
      </c>
      <c r="AP40" s="1">
        <v>1.0407955577163264</v>
      </c>
      <c r="AR40" s="8">
        <v>1979</v>
      </c>
      <c r="AS40" s="1">
        <v>1.0594307226450719</v>
      </c>
      <c r="AU40" s="1">
        <f t="shared" si="10"/>
        <v>1.0367164900800383</v>
      </c>
    </row>
    <row r="41" spans="1:47" x14ac:dyDescent="0.35">
      <c r="A41" t="s">
        <v>35</v>
      </c>
      <c r="B41">
        <v>2012</v>
      </c>
      <c r="C41" s="7">
        <v>2012.8333333333333</v>
      </c>
      <c r="D41" s="1">
        <v>1.0051780462993096</v>
      </c>
      <c r="E41" s="7">
        <v>2012.8333333333333</v>
      </c>
      <c r="F41" s="1">
        <v>0.97587648935800497</v>
      </c>
      <c r="G41" s="7">
        <v>2012.8333333333333</v>
      </c>
      <c r="H41" s="1">
        <v>1.0048041720203462</v>
      </c>
      <c r="I41" s="7">
        <v>2012.8333333333333</v>
      </c>
      <c r="J41" s="1">
        <v>0.99371399412847139</v>
      </c>
      <c r="L41" s="1">
        <f t="shared" si="0"/>
        <v>0.99489317545153311</v>
      </c>
      <c r="M41" s="1"/>
      <c r="N41" s="8">
        <v>1978</v>
      </c>
      <c r="O41" s="1">
        <f t="shared" si="1"/>
        <v>1.0417739801346491</v>
      </c>
      <c r="P41" s="1"/>
      <c r="Q41" s="7">
        <f t="shared" si="2"/>
        <v>-0.17253011675456417</v>
      </c>
      <c r="R41" s="7">
        <f t="shared" si="3"/>
        <v>-0.64667003373595855</v>
      </c>
      <c r="S41" s="7">
        <f t="shared" si="12"/>
        <v>-0.75907748972249178</v>
      </c>
      <c r="T41" s="7">
        <f t="shared" si="5"/>
        <v>-0.9645638933472398</v>
      </c>
      <c r="U41" s="1"/>
      <c r="V41" s="7">
        <f t="shared" si="6"/>
        <v>-0.63571038339006358</v>
      </c>
      <c r="W41" s="1"/>
      <c r="X41" s="1"/>
      <c r="Y41" s="1"/>
      <c r="Z41" s="1"/>
      <c r="AF41" s="7">
        <f t="shared" si="8"/>
        <v>-0.78321907561553894</v>
      </c>
      <c r="AI41" s="8"/>
      <c r="AJ41" s="1"/>
      <c r="AL41" s="8">
        <v>1978</v>
      </c>
      <c r="AM41" s="1">
        <f t="shared" si="9"/>
        <v>1.0053265772784259</v>
      </c>
      <c r="AO41" s="8">
        <v>1978</v>
      </c>
      <c r="AP41" s="1">
        <v>1.0572336802082696</v>
      </c>
      <c r="AR41" s="8">
        <v>1978</v>
      </c>
      <c r="AS41" s="1">
        <v>1.0627616829172517</v>
      </c>
      <c r="AU41" s="1">
        <f t="shared" si="10"/>
        <v>1.0417739801346491</v>
      </c>
    </row>
    <row r="42" spans="1:47" x14ac:dyDescent="0.35">
      <c r="A42" t="s">
        <v>37</v>
      </c>
      <c r="B42">
        <v>2012</v>
      </c>
      <c r="C42" s="7">
        <v>2012.75</v>
      </c>
      <c r="D42" s="1">
        <v>1.0097206059497725</v>
      </c>
      <c r="E42" s="7">
        <v>2012.75</v>
      </c>
      <c r="F42" s="1">
        <v>0.97696444006971495</v>
      </c>
      <c r="G42" s="7">
        <v>2012.75</v>
      </c>
      <c r="H42" s="1">
        <v>1.006122179296923</v>
      </c>
      <c r="I42" s="7">
        <v>2012.75</v>
      </c>
      <c r="J42" s="1">
        <v>0.99900549239021474</v>
      </c>
      <c r="L42" s="1">
        <f t="shared" si="0"/>
        <v>0.99795317942665629</v>
      </c>
      <c r="M42" s="1"/>
      <c r="N42" s="8">
        <v>1977</v>
      </c>
      <c r="O42" s="1">
        <f t="shared" si="1"/>
        <v>1.0280693057227357</v>
      </c>
      <c r="P42" s="1"/>
      <c r="Q42" s="7">
        <f t="shared" si="2"/>
        <v>-2.0045149713162288E-2</v>
      </c>
      <c r="R42" s="7">
        <f t="shared" si="3"/>
        <v>-0.61316121909217791</v>
      </c>
      <c r="S42" s="7">
        <f t="shared" si="12"/>
        <v>-0.72217285117123409</v>
      </c>
      <c r="T42" s="7">
        <f t="shared" si="5"/>
        <v>-0.79920231817575349</v>
      </c>
      <c r="U42" s="1"/>
      <c r="V42" s="7">
        <f t="shared" si="6"/>
        <v>-0.53864538453808197</v>
      </c>
      <c r="W42" s="1"/>
      <c r="X42" s="1"/>
      <c r="Y42" s="1"/>
      <c r="Z42" s="1"/>
      <c r="AF42" s="7">
        <f t="shared" si="8"/>
        <v>-0.68050899831116018</v>
      </c>
      <c r="AI42" s="8"/>
      <c r="AJ42" s="1"/>
      <c r="AL42" s="8">
        <v>1977</v>
      </c>
      <c r="AM42" s="1">
        <f t="shared" si="9"/>
        <v>0.99898733790696381</v>
      </c>
      <c r="AO42" s="8">
        <v>1977</v>
      </c>
      <c r="AP42" s="1">
        <v>1.0393015395471041</v>
      </c>
      <c r="AR42" s="8">
        <v>1977</v>
      </c>
      <c r="AS42" s="1">
        <v>1.0459190397141389</v>
      </c>
      <c r="AU42" s="1">
        <f t="shared" si="10"/>
        <v>1.0280693057227357</v>
      </c>
    </row>
    <row r="43" spans="1:47" x14ac:dyDescent="0.35">
      <c r="A43" t="s">
        <v>39</v>
      </c>
      <c r="B43">
        <v>2012</v>
      </c>
      <c r="C43" s="7">
        <v>2012.6666666666665</v>
      </c>
      <c r="D43" s="1">
        <v>1.0149293739286724</v>
      </c>
      <c r="E43" s="7">
        <v>2012.6666666666665</v>
      </c>
      <c r="F43" s="1">
        <v>0.97844376171826175</v>
      </c>
      <c r="G43" s="7">
        <v>2012.6666666666665</v>
      </c>
      <c r="H43" s="1">
        <v>1.0059261432930229</v>
      </c>
      <c r="I43" s="7">
        <v>2012.6666666666665</v>
      </c>
      <c r="J43" s="1">
        <v>1.0016770437278435</v>
      </c>
      <c r="L43" s="1">
        <f t="shared" si="0"/>
        <v>1.0002440806669501</v>
      </c>
      <c r="M43" s="1"/>
      <c r="N43" s="8">
        <v>1976</v>
      </c>
      <c r="O43" s="1">
        <f t="shared" si="1"/>
        <v>1.0332009504110196</v>
      </c>
      <c r="P43" s="1"/>
      <c r="Q43" s="7">
        <f t="shared" si="2"/>
        <v>0.15480314611668411</v>
      </c>
      <c r="R43" s="7">
        <f t="shared" si="3"/>
        <v>-0.56759820379548731</v>
      </c>
      <c r="S43" s="7">
        <f t="shared" si="12"/>
        <v>-0.72766192395219687</v>
      </c>
      <c r="T43" s="7">
        <f t="shared" si="5"/>
        <v>-0.71571520063558169</v>
      </c>
      <c r="U43" s="1"/>
      <c r="V43" s="7">
        <f t="shared" si="6"/>
        <v>-0.46404304556664544</v>
      </c>
      <c r="W43" s="1"/>
      <c r="X43" s="1"/>
      <c r="Y43" s="1"/>
      <c r="Z43" s="1"/>
      <c r="AF43" s="7">
        <f t="shared" si="8"/>
        <v>-0.60361411667042419</v>
      </c>
      <c r="AI43" s="8"/>
      <c r="AJ43" s="1"/>
      <c r="AL43" s="8">
        <v>1976</v>
      </c>
      <c r="AM43" s="1">
        <f t="shared" si="9"/>
        <v>0.99747784064684264</v>
      </c>
      <c r="AO43" s="8">
        <v>1976</v>
      </c>
      <c r="AP43" s="1">
        <v>1.0525507105904175</v>
      </c>
      <c r="AR43" s="8">
        <v>1976</v>
      </c>
      <c r="AS43" s="1">
        <v>1.0495742999957982</v>
      </c>
      <c r="AU43" s="1">
        <f t="shared" si="10"/>
        <v>1.0332009504110193</v>
      </c>
    </row>
    <row r="44" spans="1:47" x14ac:dyDescent="0.35">
      <c r="A44" t="s">
        <v>41</v>
      </c>
      <c r="B44">
        <v>2012</v>
      </c>
      <c r="C44" s="7">
        <v>2012.5833333333333</v>
      </c>
      <c r="D44" s="1">
        <v>1.0056806712279285</v>
      </c>
      <c r="E44" s="7">
        <v>2012.5833333333333</v>
      </c>
      <c r="F44" s="1">
        <v>0.97113077227699218</v>
      </c>
      <c r="G44" s="7">
        <v>2012.5833333333333</v>
      </c>
      <c r="H44" s="1">
        <v>0.99886300314598409</v>
      </c>
      <c r="I44" s="7">
        <v>2012.5833333333333</v>
      </c>
      <c r="J44" s="1">
        <v>1.0079680672799616</v>
      </c>
      <c r="L44" s="1">
        <f t="shared" si="0"/>
        <v>0.99591062848271661</v>
      </c>
      <c r="M44" s="1"/>
      <c r="N44" s="8">
        <v>1975</v>
      </c>
      <c r="O44" s="1">
        <f t="shared" si="1"/>
        <v>1.0329970968705469</v>
      </c>
      <c r="P44" s="1"/>
      <c r="Q44" s="7">
        <f t="shared" si="2"/>
        <v>-0.15565796722388647</v>
      </c>
      <c r="R44" s="7">
        <f t="shared" si="3"/>
        <v>-0.79283782636466926</v>
      </c>
      <c r="S44" s="7">
        <f t="shared" si="12"/>
        <v>-0.92543217818049317</v>
      </c>
      <c r="T44" s="7">
        <f t="shared" si="5"/>
        <v>-0.51911803428284697</v>
      </c>
      <c r="U44" s="1"/>
      <c r="V44" s="7">
        <f t="shared" si="6"/>
        <v>-0.59826150151297397</v>
      </c>
      <c r="W44" s="1"/>
      <c r="X44" s="1"/>
      <c r="Y44" s="1"/>
      <c r="Z44" s="1"/>
      <c r="AF44" s="7">
        <f t="shared" si="8"/>
        <v>-0.7490679175333913</v>
      </c>
      <c r="AI44" s="8"/>
      <c r="AJ44" s="1"/>
      <c r="AL44" s="8">
        <v>1975</v>
      </c>
      <c r="AM44" s="1">
        <f t="shared" si="9"/>
        <v>1.0152880681291852</v>
      </c>
      <c r="AO44" s="8">
        <v>1975</v>
      </c>
      <c r="AP44" s="1">
        <v>1.0308848142308704</v>
      </c>
      <c r="AR44" s="8">
        <v>1975</v>
      </c>
      <c r="AS44" s="1">
        <v>1.0528184082515852</v>
      </c>
      <c r="AU44" s="1">
        <f t="shared" si="10"/>
        <v>1.0329970968705469</v>
      </c>
    </row>
    <row r="45" spans="1:47" x14ac:dyDescent="0.35">
      <c r="A45" t="s">
        <v>43</v>
      </c>
      <c r="B45">
        <v>2012</v>
      </c>
      <c r="C45" s="7">
        <v>2012.5</v>
      </c>
      <c r="D45" s="1">
        <v>0.97790698901507322</v>
      </c>
      <c r="E45" s="7">
        <v>2012.5</v>
      </c>
      <c r="F45" s="1">
        <v>0.9617878660619299</v>
      </c>
      <c r="G45" s="7">
        <v>2012.5</v>
      </c>
      <c r="H45" s="1">
        <v>0.98735544372869755</v>
      </c>
      <c r="I45" s="7">
        <v>2012.5</v>
      </c>
      <c r="J45" s="1">
        <v>1.0118945100699408</v>
      </c>
      <c r="L45" s="1">
        <f t="shared" si="0"/>
        <v>0.98473620221891034</v>
      </c>
      <c r="M45" s="1"/>
      <c r="N45" s="8">
        <v>1974</v>
      </c>
      <c r="O45" s="1">
        <f t="shared" si="1"/>
        <v>1.0113852579044786</v>
      </c>
      <c r="P45" s="1"/>
      <c r="Q45" s="7">
        <f t="shared" si="2"/>
        <v>-1.0879669169619555</v>
      </c>
      <c r="R45" s="7">
        <f t="shared" si="3"/>
        <v>-1.0805987600403182</v>
      </c>
      <c r="S45" s="7">
        <f t="shared" si="12"/>
        <v>-1.2476476381778614</v>
      </c>
      <c r="T45" s="7">
        <f t="shared" si="5"/>
        <v>-0.39641502419855845</v>
      </c>
      <c r="U45" s="1"/>
      <c r="V45" s="7">
        <f t="shared" si="6"/>
        <v>-0.95315708484467343</v>
      </c>
      <c r="W45" s="1"/>
      <c r="X45" s="1"/>
      <c r="Y45" s="1"/>
      <c r="Z45" s="1"/>
      <c r="AF45" s="7">
        <f t="shared" si="8"/>
        <v>-1.1241413470838937</v>
      </c>
      <c r="AI45" s="8"/>
      <c r="AJ45" s="1"/>
      <c r="AL45" s="8">
        <v>1974</v>
      </c>
      <c r="AM45" s="1">
        <f t="shared" si="9"/>
        <v>1.0026033459873192</v>
      </c>
      <c r="AO45" s="8">
        <v>1974</v>
      </c>
      <c r="AP45" s="1">
        <v>1.0016495536388521</v>
      </c>
      <c r="AR45" s="8">
        <v>1974</v>
      </c>
      <c r="AS45" s="1">
        <v>1.0299028740872644</v>
      </c>
      <c r="AU45" s="1">
        <f t="shared" si="10"/>
        <v>1.0113852579044786</v>
      </c>
    </row>
    <row r="46" spans="1:47" x14ac:dyDescent="0.35">
      <c r="A46" t="s">
        <v>44</v>
      </c>
      <c r="B46">
        <v>2012</v>
      </c>
      <c r="C46" s="7">
        <v>2012.4166666666665</v>
      </c>
      <c r="D46" s="1">
        <v>0.97736828277754617</v>
      </c>
      <c r="E46" s="7">
        <v>2012.4166666666665</v>
      </c>
      <c r="F46" s="1">
        <v>0.9585624417999945</v>
      </c>
      <c r="G46" s="7">
        <v>2012.4166666666665</v>
      </c>
      <c r="H46" s="1">
        <v>0.98143052869839831</v>
      </c>
      <c r="I46" s="7">
        <v>2012.4166666666665</v>
      </c>
      <c r="J46" s="1">
        <v>1.0082674234442379</v>
      </c>
      <c r="L46" s="1">
        <f t="shared" si="0"/>
        <v>0.98140716918004423</v>
      </c>
      <c r="M46" s="1"/>
      <c r="N46" s="8">
        <v>1973</v>
      </c>
      <c r="O46" s="1">
        <f t="shared" si="1"/>
        <v>1.0189586441088962</v>
      </c>
      <c r="P46" s="1"/>
      <c r="Q46" s="7">
        <f t="shared" si="2"/>
        <v>-1.106050246449096</v>
      </c>
      <c r="R46" s="7">
        <f t="shared" si="3"/>
        <v>-1.1799416278535784</v>
      </c>
      <c r="S46" s="7">
        <f t="shared" si="12"/>
        <v>-1.4135472136400016</v>
      </c>
      <c r="T46" s="7">
        <f t="shared" si="5"/>
        <v>-0.50976302660573569</v>
      </c>
      <c r="U46" s="1"/>
      <c r="V46" s="7">
        <f t="shared" si="6"/>
        <v>-1.0523255286371029</v>
      </c>
      <c r="W46" s="1"/>
      <c r="X46" s="1"/>
      <c r="Y46" s="1"/>
      <c r="Z46" s="1"/>
      <c r="AF46" s="7">
        <f t="shared" si="8"/>
        <v>-1.2358814766884654</v>
      </c>
      <c r="AI46" s="8"/>
      <c r="AJ46" s="1"/>
      <c r="AL46" s="8">
        <v>1973</v>
      </c>
      <c r="AM46" s="1">
        <f t="shared" si="9"/>
        <v>1.0105008384011835</v>
      </c>
      <c r="AO46" s="8">
        <v>1973</v>
      </c>
      <c r="AP46" s="1">
        <v>1.0142259609096351</v>
      </c>
      <c r="AR46" s="8">
        <v>1973</v>
      </c>
      <c r="AS46" s="1">
        <v>1.0321491330158703</v>
      </c>
      <c r="AU46" s="1">
        <f t="shared" si="10"/>
        <v>1.0189586441088962</v>
      </c>
    </row>
    <row r="47" spans="1:47" x14ac:dyDescent="0.35">
      <c r="A47" t="s">
        <v>42</v>
      </c>
      <c r="B47">
        <v>2012</v>
      </c>
      <c r="C47" s="7">
        <v>2012.3333333333333</v>
      </c>
      <c r="D47" s="1">
        <v>0.98426036351414736</v>
      </c>
      <c r="E47" s="7">
        <v>2012.3333333333333</v>
      </c>
      <c r="F47" s="1">
        <v>0.95367299268703343</v>
      </c>
      <c r="G47" s="7">
        <v>2012.3333333333333</v>
      </c>
      <c r="H47" s="1">
        <v>0.97887577221810229</v>
      </c>
      <c r="I47" s="7">
        <v>2012.3333333333333</v>
      </c>
      <c r="J47" s="1">
        <v>0.98429290085098264</v>
      </c>
      <c r="L47" s="1">
        <f t="shared" si="0"/>
        <v>0.9752755073175664</v>
      </c>
      <c r="M47" s="1"/>
      <c r="N47" s="8">
        <v>1972</v>
      </c>
      <c r="O47" s="1">
        <f t="shared" si="1"/>
        <v>1.0101464521659702</v>
      </c>
      <c r="P47" s="1"/>
      <c r="Q47" s="7">
        <f t="shared" si="2"/>
        <v>-0.87469638764831659</v>
      </c>
      <c r="R47" s="7">
        <f t="shared" si="3"/>
        <v>-1.3305363581781695</v>
      </c>
      <c r="S47" s="7">
        <f t="shared" si="12"/>
        <v>-1.4850812378956801</v>
      </c>
      <c r="T47" s="7">
        <f t="shared" si="5"/>
        <v>-1.2589770722131011</v>
      </c>
      <c r="U47" s="1"/>
      <c r="V47" s="7">
        <f t="shared" si="6"/>
        <v>-1.2373227639838169</v>
      </c>
      <c r="W47" s="1"/>
      <c r="X47" s="1"/>
      <c r="Y47" s="1"/>
      <c r="Z47" s="1"/>
      <c r="AF47" s="7">
        <f t="shared" si="8"/>
        <v>-1.4416927988368478</v>
      </c>
      <c r="AI47" s="8"/>
      <c r="AJ47" s="1"/>
      <c r="AL47" s="8">
        <v>1972</v>
      </c>
      <c r="AM47" s="1">
        <f t="shared" si="9"/>
        <v>1.0024292411158033</v>
      </c>
      <c r="AO47" s="8">
        <v>1972</v>
      </c>
      <c r="AP47" s="1">
        <v>1.0033982863456465</v>
      </c>
      <c r="AR47" s="8">
        <v>1972</v>
      </c>
      <c r="AS47" s="1">
        <v>1.0246118290364608</v>
      </c>
      <c r="AU47" s="1">
        <f t="shared" si="10"/>
        <v>1.0101464521659702</v>
      </c>
    </row>
    <row r="48" spans="1:47" x14ac:dyDescent="0.35">
      <c r="A48" t="s">
        <v>40</v>
      </c>
      <c r="B48">
        <v>2012</v>
      </c>
      <c r="C48" s="7">
        <v>2012.25</v>
      </c>
      <c r="D48" s="1">
        <v>0.98776835505021032</v>
      </c>
      <c r="E48" s="7">
        <v>2012.25</v>
      </c>
      <c r="F48" s="1">
        <v>0.94861067147106382</v>
      </c>
      <c r="G48" s="7">
        <v>2012.25</v>
      </c>
      <c r="H48" s="1">
        <v>0.97371690117090004</v>
      </c>
      <c r="I48" s="7">
        <v>2012.25</v>
      </c>
      <c r="J48" s="1">
        <v>0.96897752397671266</v>
      </c>
      <c r="L48" s="1">
        <f t="shared" si="0"/>
        <v>0.96976836291722179</v>
      </c>
      <c r="M48" s="1"/>
      <c r="N48" s="8">
        <v>1971</v>
      </c>
      <c r="O48" s="1">
        <f t="shared" si="1"/>
        <v>1.0155851459549559</v>
      </c>
      <c r="P48" s="1"/>
      <c r="Q48" s="7">
        <f t="shared" si="2"/>
        <v>-0.75693987702031262</v>
      </c>
      <c r="R48" s="7">
        <f t="shared" si="3"/>
        <v>-1.4864555385853284</v>
      </c>
      <c r="S48" s="7">
        <f t="shared" si="12"/>
        <v>-1.6295313291152254</v>
      </c>
      <c r="T48" s="7">
        <f t="shared" si="5"/>
        <v>-1.737589124792676</v>
      </c>
      <c r="U48" s="1"/>
      <c r="V48" s="7">
        <f t="shared" si="6"/>
        <v>-1.4026289673783856</v>
      </c>
      <c r="W48" s="1"/>
      <c r="X48" s="1"/>
      <c r="Y48" s="1"/>
      <c r="Z48" s="1"/>
      <c r="AF48" s="7">
        <f t="shared" si="8"/>
        <v>-1.6265419793229619</v>
      </c>
      <c r="AI48" s="8"/>
      <c r="AJ48" s="1"/>
      <c r="AL48" s="8">
        <v>1971</v>
      </c>
      <c r="AM48" s="1">
        <f t="shared" si="9"/>
        <v>1.0172744581489841</v>
      </c>
      <c r="AO48" s="8">
        <v>1971</v>
      </c>
      <c r="AP48" s="1">
        <v>0.99341224646614845</v>
      </c>
      <c r="AR48" s="8">
        <v>1971</v>
      </c>
      <c r="AS48" s="1">
        <v>1.0360687332497347</v>
      </c>
      <c r="AU48" s="1">
        <f t="shared" si="10"/>
        <v>1.0155851459549556</v>
      </c>
    </row>
    <row r="49" spans="1:47" x14ac:dyDescent="0.35">
      <c r="A49" t="s">
        <v>38</v>
      </c>
      <c r="B49">
        <v>2012</v>
      </c>
      <c r="C49" s="7">
        <v>2012.1666666666665</v>
      </c>
      <c r="D49" s="1">
        <v>0.98619676824833313</v>
      </c>
      <c r="E49" s="7">
        <v>2012.1666666666665</v>
      </c>
      <c r="F49" s="1">
        <v>0.94967894472227488</v>
      </c>
      <c r="G49" s="7">
        <v>2012.1666666666665</v>
      </c>
      <c r="H49" s="1">
        <v>0.98383499904741767</v>
      </c>
      <c r="I49" s="7">
        <v>2012.1666666666665</v>
      </c>
      <c r="J49" s="1">
        <v>0.97241492725339795</v>
      </c>
      <c r="L49" s="1">
        <f t="shared" si="0"/>
        <v>0.97303140981785585</v>
      </c>
      <c r="M49" s="1"/>
      <c r="N49" s="8">
        <v>1970</v>
      </c>
      <c r="O49" s="1">
        <f t="shared" si="1"/>
        <v>1.0228195439077485</v>
      </c>
      <c r="P49" s="1"/>
      <c r="Q49" s="7">
        <f t="shared" si="2"/>
        <v>-0.80969501512015563</v>
      </c>
      <c r="R49" s="7">
        <f t="shared" si="3"/>
        <v>-1.4535527885080961</v>
      </c>
      <c r="S49" s="7">
        <f t="shared" si="12"/>
        <v>-1.3462212506390656</v>
      </c>
      <c r="T49" s="7">
        <f t="shared" si="5"/>
        <v>-1.6301688078586518</v>
      </c>
      <c r="U49" s="1"/>
      <c r="V49" s="7">
        <f t="shared" si="6"/>
        <v>-1.3099094655314922</v>
      </c>
      <c r="W49" s="1"/>
      <c r="X49" s="1"/>
      <c r="Y49" s="1"/>
      <c r="Z49" s="1"/>
      <c r="AF49" s="7">
        <f t="shared" si="8"/>
        <v>-1.517016696958436</v>
      </c>
      <c r="AI49" s="8"/>
      <c r="AJ49" s="1"/>
      <c r="AL49" s="8">
        <v>1970</v>
      </c>
      <c r="AM49" s="1">
        <f t="shared" si="9"/>
        <v>1.0224969062386764</v>
      </c>
      <c r="AO49" s="8">
        <v>1970</v>
      </c>
      <c r="AP49" s="1">
        <v>1.0072395195782582</v>
      </c>
      <c r="AR49" s="8">
        <v>1970</v>
      </c>
      <c r="AS49" s="1">
        <v>1.0387222059063106</v>
      </c>
      <c r="AU49" s="1">
        <f t="shared" si="10"/>
        <v>1.0228195439077483</v>
      </c>
    </row>
    <row r="50" spans="1:47" x14ac:dyDescent="0.35">
      <c r="A50" t="s">
        <v>36</v>
      </c>
      <c r="B50">
        <v>2012</v>
      </c>
      <c r="C50" s="7">
        <v>2012.0833333333333</v>
      </c>
      <c r="D50" s="1">
        <v>1.0034786936045736</v>
      </c>
      <c r="E50" s="7">
        <v>2012.0833333333333</v>
      </c>
      <c r="F50" s="1">
        <v>0.95632393703366658</v>
      </c>
      <c r="G50" s="7">
        <v>2012.0833333333333</v>
      </c>
      <c r="H50" s="1">
        <v>1.009437920477237</v>
      </c>
      <c r="I50" s="7">
        <v>2012.0833333333333</v>
      </c>
      <c r="J50" s="1">
        <v>0.99404413097706057</v>
      </c>
      <c r="L50" s="1">
        <f t="shared" si="0"/>
        <v>0.99082117052313434</v>
      </c>
      <c r="M50" s="1"/>
      <c r="N50" s="8">
        <v>1969</v>
      </c>
      <c r="O50" s="1">
        <f t="shared" si="1"/>
        <v>1.0287491804045967</v>
      </c>
      <c r="P50" s="1"/>
      <c r="Q50" s="7">
        <f t="shared" si="2"/>
        <v>-0.22957410947838608</v>
      </c>
      <c r="R50" s="7">
        <f t="shared" si="3"/>
        <v>-1.2488874362314288</v>
      </c>
      <c r="S50" s="7">
        <f t="shared" si="12"/>
        <v>-0.62933100426821764</v>
      </c>
      <c r="T50" s="7">
        <f t="shared" si="5"/>
        <v>-0.95424697617095577</v>
      </c>
      <c r="U50" s="1"/>
      <c r="V50" s="7">
        <f t="shared" si="6"/>
        <v>-0.76550988153724719</v>
      </c>
      <c r="W50" s="1"/>
      <c r="X50" s="1"/>
      <c r="Y50" s="1"/>
      <c r="Z50" s="1"/>
      <c r="AF50" s="7">
        <f t="shared" si="8"/>
        <v>-0.91989731014718257</v>
      </c>
      <c r="AI50" s="8"/>
      <c r="AJ50" s="1"/>
      <c r="AL50" s="8">
        <v>1969</v>
      </c>
      <c r="AM50" s="1">
        <f t="shared" si="9"/>
        <v>1.0268571293441817</v>
      </c>
      <c r="AO50" s="8">
        <v>1969</v>
      </c>
      <c r="AP50" s="1">
        <v>1.0218694741694054</v>
      </c>
      <c r="AR50" s="8">
        <v>1969</v>
      </c>
      <c r="AS50" s="1">
        <v>1.0375209377002028</v>
      </c>
      <c r="AU50" s="1">
        <f t="shared" si="10"/>
        <v>1.0287491804045965</v>
      </c>
    </row>
    <row r="51" spans="1:47" x14ac:dyDescent="0.35">
      <c r="A51" t="s">
        <v>34</v>
      </c>
      <c r="B51">
        <v>2012</v>
      </c>
      <c r="C51" s="7">
        <v>2012</v>
      </c>
      <c r="D51" s="1">
        <v>1.0146900092283544</v>
      </c>
      <c r="E51" s="7">
        <v>2012</v>
      </c>
      <c r="F51" s="1">
        <v>0.96629694069042915</v>
      </c>
      <c r="G51" s="7">
        <v>2012</v>
      </c>
      <c r="H51" s="1">
        <v>1.0344617130592009</v>
      </c>
      <c r="I51" s="7">
        <v>2012</v>
      </c>
      <c r="J51" s="1">
        <v>1.0264123122478273</v>
      </c>
      <c r="L51" s="1">
        <f t="shared" si="0"/>
        <v>1.010465243806453</v>
      </c>
      <c r="M51" s="1"/>
      <c r="N51" s="8">
        <v>1968</v>
      </c>
      <c r="O51" s="1">
        <f t="shared" si="1"/>
        <v>1.0189369320949242</v>
      </c>
      <c r="P51" s="1"/>
      <c r="Q51" s="7">
        <f t="shared" si="2"/>
        <v>0.14676813474701442</v>
      </c>
      <c r="R51" s="7">
        <f t="shared" si="3"/>
        <v>-0.94171954031548699</v>
      </c>
      <c r="S51" s="7">
        <f t="shared" si="12"/>
        <v>7.1343443309604793E-2</v>
      </c>
      <c r="T51" s="7">
        <f t="shared" si="5"/>
        <v>5.7272479304920104E-2</v>
      </c>
      <c r="U51" s="1"/>
      <c r="V51" s="7">
        <f t="shared" si="6"/>
        <v>-0.16658387073848693</v>
      </c>
      <c r="W51" s="1"/>
      <c r="X51" s="1"/>
      <c r="Y51" s="1"/>
      <c r="Z51" s="1"/>
      <c r="AF51" s="7">
        <f t="shared" si="8"/>
        <v>-0.26053728908011325</v>
      </c>
      <c r="AI51" s="8"/>
      <c r="AJ51" s="1"/>
      <c r="AL51" s="8">
        <v>1968</v>
      </c>
      <c r="AM51" s="1">
        <f t="shared" si="9"/>
        <v>0.99954652494246987</v>
      </c>
      <c r="AO51" s="8">
        <v>1968</v>
      </c>
      <c r="AP51" s="1">
        <v>1.011622137379526</v>
      </c>
      <c r="AR51" s="8">
        <v>1968</v>
      </c>
      <c r="AS51" s="1">
        <v>1.0456421339627768</v>
      </c>
      <c r="AU51" s="1">
        <f t="shared" si="10"/>
        <v>1.0189369320949242</v>
      </c>
    </row>
    <row r="52" spans="1:47" x14ac:dyDescent="0.35">
      <c r="A52" t="s">
        <v>33</v>
      </c>
      <c r="B52">
        <v>2011</v>
      </c>
      <c r="C52" s="7">
        <v>2011.9166666666665</v>
      </c>
      <c r="D52" s="1">
        <v>1.0173542928928503</v>
      </c>
      <c r="E52" s="7">
        <v>2011.9166666666665</v>
      </c>
      <c r="F52" s="1">
        <v>0.96958966470278118</v>
      </c>
      <c r="G52" s="7">
        <v>2011.9166666666665</v>
      </c>
      <c r="H52" s="1">
        <v>1.042826736005164</v>
      </c>
      <c r="I52" s="7">
        <v>2011.9166666666665</v>
      </c>
      <c r="J52" s="1">
        <v>1.0334665310762325</v>
      </c>
      <c r="L52" s="1">
        <f t="shared" si="0"/>
        <v>1.015809306169257</v>
      </c>
      <c r="M52" s="1"/>
      <c r="N52" s="8">
        <v>1967</v>
      </c>
      <c r="O52" s="1">
        <f t="shared" si="1"/>
        <v>1.0204638780779725</v>
      </c>
      <c r="P52" s="1"/>
      <c r="Q52" s="7">
        <f t="shared" si="2"/>
        <v>0.23620299923540952</v>
      </c>
      <c r="R52" s="7">
        <f t="shared" si="3"/>
        <v>-0.84030384435108807</v>
      </c>
      <c r="S52" s="7">
        <f t="shared" si="12"/>
        <v>0.3055668453954653</v>
      </c>
      <c r="T52" s="7">
        <f t="shared" si="5"/>
        <v>0.27771982320806976</v>
      </c>
      <c r="U52" s="1"/>
      <c r="V52" s="7">
        <f t="shared" si="6"/>
        <v>-5.2035441280358641E-3</v>
      </c>
      <c r="W52" s="1"/>
      <c r="X52" s="1"/>
      <c r="Y52" s="1"/>
      <c r="Z52" s="1"/>
      <c r="AF52" s="7">
        <f t="shared" si="8"/>
        <v>-8.1162012817300969E-2</v>
      </c>
      <c r="AI52" s="8"/>
      <c r="AJ52" s="1"/>
      <c r="AL52" s="8">
        <v>1967</v>
      </c>
      <c r="AM52" s="1">
        <f t="shared" si="9"/>
        <v>1.0090014543914565</v>
      </c>
      <c r="AO52" s="8">
        <v>1967</v>
      </c>
      <c r="AP52" s="1">
        <v>1.0221643704169521</v>
      </c>
      <c r="AR52" s="8">
        <v>1967</v>
      </c>
      <c r="AS52" s="1">
        <v>1.0302258094255088</v>
      </c>
      <c r="AU52" s="1">
        <f t="shared" si="10"/>
        <v>1.0204638780779725</v>
      </c>
    </row>
    <row r="53" spans="1:47" x14ac:dyDescent="0.35">
      <c r="A53" t="s">
        <v>35</v>
      </c>
      <c r="B53">
        <v>2011</v>
      </c>
      <c r="C53" s="7">
        <v>2011.8333333333333</v>
      </c>
      <c r="D53" s="1">
        <v>1.0188089452475653</v>
      </c>
      <c r="E53" s="7">
        <v>2011.8333333333333</v>
      </c>
      <c r="F53" s="1">
        <v>0.97266348181694828</v>
      </c>
      <c r="G53" s="7">
        <v>2011.8333333333333</v>
      </c>
      <c r="H53" s="1">
        <v>1.0396102191791585</v>
      </c>
      <c r="I53" s="7">
        <v>2011.8333333333333</v>
      </c>
      <c r="J53" s="1">
        <v>1.0322946095856822</v>
      </c>
      <c r="L53" s="1">
        <f t="shared" si="0"/>
        <v>1.0158443139573385</v>
      </c>
      <c r="M53" s="1"/>
      <c r="N53" s="8">
        <v>1966</v>
      </c>
      <c r="O53" s="1">
        <f t="shared" si="1"/>
        <v>1.0212566372547258</v>
      </c>
      <c r="P53" s="1"/>
      <c r="Q53" s="7">
        <f t="shared" si="2"/>
        <v>0.28503287345463035</v>
      </c>
      <c r="R53" s="7">
        <f t="shared" si="3"/>
        <v>-0.74563046731398208</v>
      </c>
      <c r="S53" s="7">
        <f t="shared" si="12"/>
        <v>0.2155033131469393</v>
      </c>
      <c r="T53" s="7">
        <f t="shared" si="5"/>
        <v>0.24109677732033019</v>
      </c>
      <c r="U53" s="1"/>
      <c r="V53" s="7">
        <f t="shared" si="6"/>
        <v>-9.9937584802056029E-4</v>
      </c>
      <c r="W53" s="1"/>
      <c r="X53" s="1"/>
      <c r="Y53" s="1"/>
      <c r="Z53" s="1"/>
      <c r="AF53" s="7">
        <f t="shared" si="8"/>
        <v>-7.9986964467906749E-2</v>
      </c>
      <c r="AI53" s="8"/>
      <c r="AJ53" s="1"/>
      <c r="AL53" s="8">
        <v>1966</v>
      </c>
      <c r="AM53" s="1">
        <f t="shared" si="9"/>
        <v>1.0181147891023805</v>
      </c>
      <c r="AO53" s="8">
        <v>1966</v>
      </c>
      <c r="AP53" s="1">
        <v>1.0200785105271886</v>
      </c>
      <c r="AR53" s="8">
        <v>1966</v>
      </c>
      <c r="AS53" s="1">
        <v>1.0255766121346082</v>
      </c>
      <c r="AU53" s="1">
        <f t="shared" si="10"/>
        <v>1.0212566372547256</v>
      </c>
    </row>
    <row r="54" spans="1:47" x14ac:dyDescent="0.35">
      <c r="A54" t="s">
        <v>37</v>
      </c>
      <c r="B54">
        <v>2011</v>
      </c>
      <c r="C54" s="7">
        <v>2011.75</v>
      </c>
      <c r="D54" s="1">
        <v>1.0198522479207834</v>
      </c>
      <c r="E54" s="7">
        <v>2011.75</v>
      </c>
      <c r="F54" s="1">
        <v>0.98320811859789614</v>
      </c>
      <c r="G54" s="7">
        <v>2011.75</v>
      </c>
      <c r="H54" s="1">
        <v>1.0360602651508954</v>
      </c>
      <c r="I54" s="7">
        <v>2011.75</v>
      </c>
      <c r="J54" s="1">
        <v>1.0247710817005986</v>
      </c>
      <c r="L54" s="1">
        <f t="shared" si="0"/>
        <v>1.0159729283425434</v>
      </c>
      <c r="M54" s="1"/>
      <c r="N54" s="8">
        <v>1965</v>
      </c>
      <c r="O54" s="1">
        <f t="shared" si="1"/>
        <v>1.0051762881566244</v>
      </c>
      <c r="P54" s="1"/>
      <c r="Q54" s="7">
        <f t="shared" si="2"/>
        <v>0.3200545321627703</v>
      </c>
      <c r="R54" s="7">
        <f t="shared" si="3"/>
        <v>-0.42085630652188255</v>
      </c>
      <c r="S54" s="7">
        <f t="shared" si="12"/>
        <v>0.11610342923515007</v>
      </c>
      <c r="T54" s="7">
        <f t="shared" si="5"/>
        <v>5.9833254424989032E-3</v>
      </c>
      <c r="U54" s="1"/>
      <c r="V54" s="7">
        <f t="shared" si="6"/>
        <v>5.3212450796341817E-3</v>
      </c>
      <c r="W54" s="1"/>
      <c r="X54" s="1"/>
      <c r="Y54" s="1"/>
      <c r="Z54" s="1"/>
      <c r="AF54" s="7">
        <f t="shared" si="8"/>
        <v>-7.566997875343151E-2</v>
      </c>
      <c r="AI54" s="8"/>
      <c r="AJ54" s="1"/>
      <c r="AL54" s="8">
        <v>1965</v>
      </c>
      <c r="AM54" s="1">
        <f t="shared" si="9"/>
        <v>0.98914806496510221</v>
      </c>
      <c r="AO54" s="8">
        <v>1965</v>
      </c>
      <c r="AP54" s="1">
        <v>0.99699779304387148</v>
      </c>
      <c r="AR54" s="8">
        <v>1965</v>
      </c>
      <c r="AS54" s="1">
        <v>1.0293830064608995</v>
      </c>
      <c r="AU54" s="1">
        <f t="shared" si="10"/>
        <v>1.0051762881566244</v>
      </c>
    </row>
    <row r="55" spans="1:47" x14ac:dyDescent="0.35">
      <c r="A55" t="s">
        <v>39</v>
      </c>
      <c r="B55">
        <v>2011</v>
      </c>
      <c r="C55" s="7">
        <v>2011.6666666666665</v>
      </c>
      <c r="D55" s="1">
        <v>1.0210990968978224</v>
      </c>
      <c r="E55" s="7">
        <v>2011.6666666666665</v>
      </c>
      <c r="F55" s="1">
        <v>0.98249988615640071</v>
      </c>
      <c r="G55" s="7">
        <v>2011.6666666666665</v>
      </c>
      <c r="H55" s="1">
        <v>1.0305983424009775</v>
      </c>
      <c r="I55" s="7">
        <v>2011.6666666666665</v>
      </c>
      <c r="J55" s="1">
        <v>1.0143884048803327</v>
      </c>
      <c r="L55" s="1">
        <f t="shared" si="0"/>
        <v>1.0121464325838834</v>
      </c>
      <c r="M55" s="1"/>
      <c r="N55" s="8">
        <v>1964</v>
      </c>
      <c r="O55" s="1">
        <f t="shared" si="1"/>
        <v>1.0075274686276197</v>
      </c>
      <c r="P55" s="1"/>
      <c r="Q55" s="7">
        <f t="shared" si="2"/>
        <v>0.36190884774672055</v>
      </c>
      <c r="R55" s="7">
        <f t="shared" si="3"/>
        <v>-0.44266982192414001</v>
      </c>
      <c r="S55" s="7">
        <f t="shared" si="12"/>
        <v>-3.6832209636388655E-2</v>
      </c>
      <c r="T55" s="7">
        <f t="shared" si="5"/>
        <v>-0.31847974882675389</v>
      </c>
      <c r="U55" s="1"/>
      <c r="V55" s="7">
        <f t="shared" si="6"/>
        <v>-0.1090182331601405</v>
      </c>
      <c r="W55" s="1"/>
      <c r="X55" s="1"/>
      <c r="Y55" s="1"/>
      <c r="Z55" s="1"/>
      <c r="AF55" s="7">
        <f t="shared" si="8"/>
        <v>-0.20410761425062907</v>
      </c>
      <c r="AI55" s="8"/>
      <c r="AJ55" s="1"/>
      <c r="AL55" s="8">
        <v>1964</v>
      </c>
      <c r="AM55" s="1">
        <f t="shared" si="9"/>
        <v>0.99888832049306853</v>
      </c>
      <c r="AO55" s="8">
        <v>1964</v>
      </c>
      <c r="AP55" s="1">
        <v>1.0120442611351554</v>
      </c>
      <c r="AR55" s="8">
        <v>1964</v>
      </c>
      <c r="AS55" s="1">
        <v>1.0116498242546355</v>
      </c>
      <c r="AU55" s="1">
        <f t="shared" si="10"/>
        <v>1.0075274686276199</v>
      </c>
    </row>
    <row r="56" spans="1:47" x14ac:dyDescent="0.35">
      <c r="A56" t="s">
        <v>41</v>
      </c>
      <c r="B56">
        <v>2011</v>
      </c>
      <c r="C56" s="7">
        <v>2011.5833333333333</v>
      </c>
      <c r="D56" s="1">
        <v>1.0119165774301013</v>
      </c>
      <c r="E56" s="7">
        <v>2011.5833333333333</v>
      </c>
      <c r="F56" s="1">
        <v>0.98621076874175495</v>
      </c>
      <c r="G56" s="7">
        <v>2011.5833333333333</v>
      </c>
      <c r="H56" s="1">
        <v>1.0226295197194055</v>
      </c>
      <c r="I56" s="7">
        <v>2011.5833333333333</v>
      </c>
      <c r="J56" s="1">
        <v>1.0026415483111535</v>
      </c>
      <c r="L56" s="1">
        <f t="shared" si="0"/>
        <v>1.0058496035506037</v>
      </c>
      <c r="M56" s="1"/>
      <c r="N56" s="8">
        <v>1963</v>
      </c>
      <c r="O56" s="1">
        <f t="shared" si="1"/>
        <v>1.0187592977726505</v>
      </c>
      <c r="P56" s="1"/>
      <c r="Q56" s="7">
        <f t="shared" si="2"/>
        <v>5.3669377902930082E-2</v>
      </c>
      <c r="R56" s="7">
        <f t="shared" si="3"/>
        <v>-0.32837486776943625</v>
      </c>
      <c r="S56" s="7">
        <f t="shared" si="12"/>
        <v>-0.25996187361388057</v>
      </c>
      <c r="T56" s="7">
        <f t="shared" si="5"/>
        <v>-0.68557402147100399</v>
      </c>
      <c r="U56" s="1"/>
      <c r="V56" s="7">
        <f t="shared" si="6"/>
        <v>-0.30506034623784767</v>
      </c>
      <c r="W56" s="1"/>
      <c r="X56" s="1"/>
      <c r="Y56" s="1"/>
      <c r="Z56" s="1"/>
      <c r="AF56" s="7">
        <f t="shared" si="8"/>
        <v>-0.41546282883154317</v>
      </c>
      <c r="AI56" s="8"/>
      <c r="AJ56" s="1"/>
      <c r="AL56" s="8">
        <v>1963</v>
      </c>
      <c r="AM56" s="1">
        <f t="shared" si="9"/>
        <v>1.0063785808164389</v>
      </c>
      <c r="AO56" s="8">
        <v>1963</v>
      </c>
      <c r="AP56" s="1">
        <v>1.0214238648901337</v>
      </c>
      <c r="AR56" s="8">
        <v>1963</v>
      </c>
      <c r="AS56" s="1">
        <v>1.0284754476113798</v>
      </c>
      <c r="AU56" s="1">
        <f t="shared" si="10"/>
        <v>1.0187592977726507</v>
      </c>
    </row>
    <row r="57" spans="1:47" x14ac:dyDescent="0.35">
      <c r="A57" t="s">
        <v>43</v>
      </c>
      <c r="B57">
        <v>2011</v>
      </c>
      <c r="C57" s="7">
        <v>2011.5</v>
      </c>
      <c r="D57" s="1">
        <v>0.98256142820175119</v>
      </c>
      <c r="E57" s="7">
        <v>2011.5</v>
      </c>
      <c r="F57" s="1">
        <v>0.98182380569464134</v>
      </c>
      <c r="G57" s="7">
        <v>2011.5</v>
      </c>
      <c r="H57" s="1">
        <v>1.0213447132519937</v>
      </c>
      <c r="I57" s="7">
        <v>2011.5</v>
      </c>
      <c r="J57" s="1">
        <v>0.99313864189052958</v>
      </c>
      <c r="L57" s="1">
        <f t="shared" si="0"/>
        <v>0.99471714725972904</v>
      </c>
      <c r="M57" s="1"/>
      <c r="N57" s="8">
        <v>1962</v>
      </c>
      <c r="O57" s="1">
        <f t="shared" si="1"/>
        <v>1.0202997781115417</v>
      </c>
      <c r="P57" s="1"/>
      <c r="Q57" s="7">
        <f t="shared" si="2"/>
        <v>-0.93172636965192224</v>
      </c>
      <c r="R57" s="7">
        <f t="shared" si="3"/>
        <v>-0.46349305833874688</v>
      </c>
      <c r="S57" s="7">
        <f t="shared" si="12"/>
        <v>-0.29593687855565859</v>
      </c>
      <c r="T57" s="7">
        <f t="shared" si="5"/>
        <v>-0.98254389591708879</v>
      </c>
      <c r="U57" s="1"/>
      <c r="V57" s="7">
        <f t="shared" si="6"/>
        <v>-0.66842505061585411</v>
      </c>
      <c r="W57" s="1"/>
      <c r="X57" s="1"/>
      <c r="Y57" s="1"/>
      <c r="Z57" s="1"/>
      <c r="AF57" s="7">
        <f t="shared" si="8"/>
        <v>-0.78912752192310232</v>
      </c>
      <c r="AI57" s="8"/>
      <c r="AJ57" s="1"/>
      <c r="AL57" s="8">
        <v>1962</v>
      </c>
      <c r="AM57" s="1">
        <f t="shared" si="9"/>
        <v>1.0201122314602784</v>
      </c>
      <c r="AO57" s="8">
        <v>1962</v>
      </c>
      <c r="AP57" s="1">
        <v>1.019713207728979</v>
      </c>
      <c r="AR57" s="8">
        <v>1962</v>
      </c>
      <c r="AS57" s="1">
        <v>1.0210738951453673</v>
      </c>
      <c r="AU57" s="1">
        <f t="shared" si="10"/>
        <v>1.0202997781115417</v>
      </c>
    </row>
    <row r="58" spans="1:47" x14ac:dyDescent="0.35">
      <c r="A58" t="s">
        <v>44</v>
      </c>
      <c r="B58">
        <v>2011</v>
      </c>
      <c r="C58" s="7">
        <v>2011.4166666666665</v>
      </c>
      <c r="D58" s="1">
        <v>0.9574354095196862</v>
      </c>
      <c r="E58" s="7">
        <v>2011.4166666666665</v>
      </c>
      <c r="F58" s="1">
        <v>0.97352185332842944</v>
      </c>
      <c r="G58" s="7">
        <v>2011.4166666666665</v>
      </c>
      <c r="H58" s="1">
        <v>1.0237121710022858</v>
      </c>
      <c r="I58" s="7">
        <v>2011.4166666666665</v>
      </c>
      <c r="J58" s="1">
        <v>0.98351902735299368</v>
      </c>
      <c r="L58" s="1">
        <f t="shared" si="0"/>
        <v>0.98454711530084871</v>
      </c>
      <c r="M58" s="1"/>
      <c r="N58" s="8">
        <v>1961</v>
      </c>
      <c r="O58" s="1">
        <f t="shared" si="1"/>
        <v>1.0256611847555623</v>
      </c>
      <c r="P58" s="1"/>
      <c r="Q58" s="7">
        <f t="shared" si="2"/>
        <v>-1.7751583607378063</v>
      </c>
      <c r="R58" s="7">
        <f t="shared" si="3"/>
        <v>-0.71919267784049012</v>
      </c>
      <c r="S58" s="7">
        <f t="shared" si="12"/>
        <v>-0.22964728052944347</v>
      </c>
      <c r="T58" s="7">
        <f t="shared" si="5"/>
        <v>-1.2831609487412514</v>
      </c>
      <c r="U58" s="1"/>
      <c r="V58" s="7">
        <f t="shared" si="6"/>
        <v>-1.0017898169622479</v>
      </c>
      <c r="W58" s="1"/>
      <c r="X58" s="1"/>
      <c r="Y58" s="1"/>
      <c r="Z58" s="1"/>
      <c r="AF58" s="7">
        <f t="shared" si="8"/>
        <v>-1.1304881139931016</v>
      </c>
      <c r="AI58" s="8"/>
      <c r="AJ58" s="1"/>
      <c r="AL58" s="8">
        <v>1961</v>
      </c>
      <c r="AM58" s="1">
        <f t="shared" si="9"/>
        <v>1.0082108226675952</v>
      </c>
      <c r="AO58" s="8">
        <v>1961</v>
      </c>
      <c r="AP58" s="1">
        <v>1.0389638603591533</v>
      </c>
      <c r="AR58" s="8">
        <v>1961</v>
      </c>
      <c r="AS58" s="1">
        <v>1.0298088712399383</v>
      </c>
      <c r="AU58" s="1">
        <f t="shared" si="10"/>
        <v>1.0256611847555623</v>
      </c>
    </row>
    <row r="59" spans="1:47" x14ac:dyDescent="0.35">
      <c r="A59" t="s">
        <v>42</v>
      </c>
      <c r="B59">
        <v>2011</v>
      </c>
      <c r="C59" s="7">
        <v>2011.3333333333333</v>
      </c>
      <c r="D59" s="1">
        <v>0.94736618249178484</v>
      </c>
      <c r="E59" s="7">
        <v>2011.3333333333333</v>
      </c>
      <c r="F59" s="1">
        <v>0.96432301385505281</v>
      </c>
      <c r="G59" s="7">
        <v>2011.3333333333333</v>
      </c>
      <c r="H59" s="1">
        <v>1.0234571831553756</v>
      </c>
      <c r="I59" s="7">
        <v>2011.3333333333333</v>
      </c>
      <c r="J59" s="1">
        <v>0.97899898370728289</v>
      </c>
      <c r="L59" s="1">
        <f t="shared" si="0"/>
        <v>0.97853634080237406</v>
      </c>
      <c r="M59" s="1"/>
      <c r="N59" s="8">
        <v>1960</v>
      </c>
      <c r="O59" s="1">
        <f t="shared" si="1"/>
        <v>1.0321504675227295</v>
      </c>
      <c r="P59" s="1"/>
      <c r="Q59" s="7">
        <f t="shared" si="2"/>
        <v>-2.1131628933421207</v>
      </c>
      <c r="R59" s="7">
        <f t="shared" si="3"/>
        <v>-1.0025163647810451</v>
      </c>
      <c r="S59" s="7">
        <f t="shared" si="12"/>
        <v>-0.23678702436274515</v>
      </c>
      <c r="T59" s="7">
        <f t="shared" si="5"/>
        <v>-1.4244142384763121</v>
      </c>
      <c r="U59" s="1"/>
      <c r="V59" s="7">
        <f t="shared" si="6"/>
        <v>-1.1942201302405557</v>
      </c>
      <c r="W59" s="1"/>
      <c r="X59" s="1"/>
      <c r="Y59" s="1"/>
      <c r="Z59" s="1"/>
      <c r="AF59" s="7">
        <f t="shared" si="8"/>
        <v>-1.3322418105296125</v>
      </c>
      <c r="AI59" s="8"/>
      <c r="AJ59" s="1"/>
      <c r="AL59" s="8">
        <v>1960</v>
      </c>
      <c r="AM59" s="1">
        <f t="shared" si="9"/>
        <v>1.0172155274705617</v>
      </c>
      <c r="AO59" s="8">
        <v>1960</v>
      </c>
      <c r="AP59" s="1">
        <v>1.0489344176858026</v>
      </c>
      <c r="AR59" s="8">
        <v>1960</v>
      </c>
      <c r="AS59" s="1">
        <v>1.0303014574118243</v>
      </c>
      <c r="AU59" s="1">
        <f t="shared" si="10"/>
        <v>1.0321504675227295</v>
      </c>
    </row>
    <row r="60" spans="1:47" x14ac:dyDescent="0.35">
      <c r="A60" t="s">
        <v>40</v>
      </c>
      <c r="B60">
        <v>2011</v>
      </c>
      <c r="C60" s="7">
        <v>2011.25</v>
      </c>
      <c r="D60" s="1">
        <v>0.94503201328750253</v>
      </c>
      <c r="E60" s="7">
        <v>2011.25</v>
      </c>
      <c r="F60" s="1">
        <v>0.94080964177021398</v>
      </c>
      <c r="G60" s="7">
        <v>2011.25</v>
      </c>
      <c r="H60" s="1">
        <v>1.0196925387181528</v>
      </c>
      <c r="I60" s="7">
        <v>2011.25</v>
      </c>
      <c r="J60" s="1">
        <v>0.97511284371196572</v>
      </c>
      <c r="L60" s="1">
        <f t="shared" si="0"/>
        <v>0.97016175937195881</v>
      </c>
      <c r="M60" s="1"/>
      <c r="N60" s="8">
        <v>1959</v>
      </c>
      <c r="O60" s="1">
        <f t="shared" si="1"/>
        <v>1.0247210688136814</v>
      </c>
      <c r="P60" s="1"/>
      <c r="Q60" s="7">
        <f t="shared" si="2"/>
        <v>-2.1915164520340298</v>
      </c>
      <c r="R60" s="7">
        <f t="shared" si="3"/>
        <v>-1.7267267709700636</v>
      </c>
      <c r="S60" s="7">
        <f t="shared" si="12"/>
        <v>-0.3421983105512032</v>
      </c>
      <c r="T60" s="7">
        <f t="shared" si="5"/>
        <v>-1.5458577690560313</v>
      </c>
      <c r="U60" s="1"/>
      <c r="V60" s="7">
        <f t="shared" si="6"/>
        <v>-1.4515748256528318</v>
      </c>
      <c r="W60" s="1"/>
      <c r="X60" s="1"/>
      <c r="Y60" s="1"/>
      <c r="Z60" s="1"/>
      <c r="AF60" s="7">
        <f t="shared" si="8"/>
        <v>-1.6133374931177826</v>
      </c>
      <c r="AI60" s="8"/>
      <c r="AJ60" s="1"/>
      <c r="AL60" s="8">
        <v>1959</v>
      </c>
      <c r="AM60" s="1">
        <f t="shared" si="9"/>
        <v>1.0060874428655311</v>
      </c>
      <c r="AO60" s="8">
        <v>1959</v>
      </c>
      <c r="AP60" s="1">
        <v>1.0459372872506967</v>
      </c>
      <c r="AR60" s="8">
        <v>1959</v>
      </c>
      <c r="AS60" s="1">
        <v>1.0221384763248167</v>
      </c>
      <c r="AU60" s="1">
        <f t="shared" si="10"/>
        <v>1.0247210688136814</v>
      </c>
    </row>
    <row r="61" spans="1:47" x14ac:dyDescent="0.35">
      <c r="A61" t="s">
        <v>38</v>
      </c>
      <c r="B61">
        <v>2011</v>
      </c>
      <c r="C61" s="7">
        <v>2011.1666666666665</v>
      </c>
      <c r="D61" s="1">
        <v>0.95423017537404498</v>
      </c>
      <c r="E61" s="7">
        <v>2011.1666666666665</v>
      </c>
      <c r="F61" s="1">
        <v>0.93595887834831604</v>
      </c>
      <c r="G61" s="7">
        <v>2011.1666666666665</v>
      </c>
      <c r="H61" s="1">
        <v>1.029119021347354</v>
      </c>
      <c r="I61" s="7">
        <v>2011.1666666666665</v>
      </c>
      <c r="J61" s="1">
        <v>0.97641662878628477</v>
      </c>
      <c r="L61" s="1">
        <f t="shared" si="0"/>
        <v>0.97393117596399992</v>
      </c>
      <c r="M61" s="1"/>
      <c r="N61" s="8">
        <v>1958</v>
      </c>
      <c r="O61" s="1">
        <f t="shared" si="1"/>
        <v>1.0239725583966772</v>
      </c>
      <c r="P61" s="1"/>
      <c r="Q61" s="7">
        <f t="shared" si="2"/>
        <v>-1.8827518896435351</v>
      </c>
      <c r="R61" s="7">
        <f t="shared" si="3"/>
        <v>-1.8761299844021628</v>
      </c>
      <c r="S61" s="7">
        <f t="shared" si="12"/>
        <v>-7.8253687161939783E-2</v>
      </c>
      <c r="T61" s="7">
        <f t="shared" si="5"/>
        <v>-1.5051139299938143</v>
      </c>
      <c r="U61" s="1"/>
      <c r="V61" s="7">
        <f t="shared" si="6"/>
        <v>-1.3355623728003629</v>
      </c>
      <c r="W61" s="1"/>
      <c r="X61" s="1"/>
      <c r="Y61" s="1"/>
      <c r="Z61" s="1"/>
      <c r="AF61" s="7">
        <f t="shared" si="8"/>
        <v>-1.4868157393199417</v>
      </c>
      <c r="AI61" s="8"/>
      <c r="AJ61" s="1"/>
      <c r="AL61" s="8">
        <v>1958</v>
      </c>
      <c r="AM61" s="1">
        <f t="shared" si="9"/>
        <v>1.0170915809980632</v>
      </c>
      <c r="AO61" s="8">
        <v>1958</v>
      </c>
      <c r="AP61" s="1">
        <v>1.0297220274484986</v>
      </c>
      <c r="AR61" s="8">
        <v>1958</v>
      </c>
      <c r="AS61" s="1">
        <v>1.0251040667434697</v>
      </c>
      <c r="AU61" s="1">
        <f t="shared" si="10"/>
        <v>1.0239725583966772</v>
      </c>
    </row>
    <row r="62" spans="1:47" x14ac:dyDescent="0.35">
      <c r="A62" t="s">
        <v>36</v>
      </c>
      <c r="B62">
        <v>2011</v>
      </c>
      <c r="C62" s="7">
        <v>2011.0833333333333</v>
      </c>
      <c r="D62" s="1">
        <v>1.0014701933652337</v>
      </c>
      <c r="E62" s="7">
        <v>2011.0833333333333</v>
      </c>
      <c r="F62" s="1">
        <v>0.94743132576188271</v>
      </c>
      <c r="G62" s="7">
        <v>2011.0833333333333</v>
      </c>
      <c r="H62" s="1">
        <v>1.0531280412492745</v>
      </c>
      <c r="I62" s="7">
        <v>2011.0833333333333</v>
      </c>
      <c r="J62" s="1">
        <v>1.0072030920503441</v>
      </c>
      <c r="L62" s="1">
        <f t="shared" si="0"/>
        <v>1.0023081631066837</v>
      </c>
      <c r="M62" s="1"/>
      <c r="N62" s="8">
        <v>1957</v>
      </c>
      <c r="O62" s="1">
        <f t="shared" si="1"/>
        <v>1.0192099892434723</v>
      </c>
      <c r="P62" s="1"/>
      <c r="Q62" s="7">
        <f t="shared" si="2"/>
        <v>-0.29699558907683049</v>
      </c>
      <c r="R62" s="7">
        <f t="shared" si="3"/>
        <v>-1.52277931349952</v>
      </c>
      <c r="S62" s="7">
        <f t="shared" si="12"/>
        <v>0.59400679060385186</v>
      </c>
      <c r="T62" s="7">
        <f t="shared" si="5"/>
        <v>-0.54302383613319882</v>
      </c>
      <c r="U62" s="1"/>
      <c r="V62" s="7">
        <f t="shared" si="6"/>
        <v>-0.44219798702642443</v>
      </c>
      <c r="W62" s="1"/>
      <c r="X62" s="1"/>
      <c r="Y62" s="1"/>
      <c r="Z62" s="1"/>
      <c r="AF62" s="7">
        <f t="shared" si="8"/>
        <v>-0.53433248544669054</v>
      </c>
      <c r="AI62" s="8"/>
      <c r="AJ62" s="1"/>
      <c r="AL62" s="8">
        <v>1957</v>
      </c>
      <c r="AM62" s="1">
        <f t="shared" si="9"/>
        <v>1.0076553300287097</v>
      </c>
      <c r="AO62" s="8">
        <v>1957</v>
      </c>
      <c r="AP62" s="1">
        <v>1.0249455719324301</v>
      </c>
      <c r="AR62" s="8">
        <v>1957</v>
      </c>
      <c r="AS62" s="1">
        <v>1.0250290657692778</v>
      </c>
      <c r="AU62" s="1">
        <f t="shared" si="10"/>
        <v>1.0192099892434727</v>
      </c>
    </row>
    <row r="63" spans="1:47" x14ac:dyDescent="0.35">
      <c r="A63" t="s">
        <v>34</v>
      </c>
      <c r="B63">
        <v>2011</v>
      </c>
      <c r="C63" s="7">
        <v>2011</v>
      </c>
      <c r="D63" s="1">
        <v>1.0703572256964096</v>
      </c>
      <c r="E63" s="7">
        <v>2011</v>
      </c>
      <c r="F63" s="1">
        <v>1.0159471463776915</v>
      </c>
      <c r="G63" s="7">
        <v>2011</v>
      </c>
      <c r="H63" s="1">
        <v>1.0682548050051672</v>
      </c>
      <c r="I63" s="7">
        <v>2011</v>
      </c>
      <c r="J63" s="1">
        <v>1.053119396383702</v>
      </c>
      <c r="L63" s="1">
        <f t="shared" si="0"/>
        <v>1.0519196433657427</v>
      </c>
      <c r="M63" s="1"/>
      <c r="N63" s="8">
        <v>1956</v>
      </c>
      <c r="O63" s="1">
        <f t="shared" si="1"/>
        <v>1.0478308020735474</v>
      </c>
      <c r="P63" s="1"/>
      <c r="Q63" s="7">
        <f t="shared" si="2"/>
        <v>2.0154092361474043</v>
      </c>
      <c r="R63" s="7">
        <f t="shared" si="3"/>
        <v>0.58750372457408429</v>
      </c>
      <c r="S63" s="7">
        <f t="shared" si="12"/>
        <v>1.0175611660481101</v>
      </c>
      <c r="T63" s="7">
        <f t="shared" si="5"/>
        <v>0.89188023735238198</v>
      </c>
      <c r="U63" s="1"/>
      <c r="V63" s="7">
        <f t="shared" si="6"/>
        <v>1.1280885910304952</v>
      </c>
      <c r="W63" s="1"/>
      <c r="X63" s="1"/>
      <c r="Y63" s="1"/>
      <c r="Z63" s="1"/>
      <c r="AF63" s="7">
        <f t="shared" si="8"/>
        <v>1.1308937737405993</v>
      </c>
      <c r="AI63" s="8"/>
      <c r="AJ63" s="1"/>
      <c r="AL63" s="8">
        <v>1956</v>
      </c>
      <c r="AM63" s="1">
        <f t="shared" si="9"/>
        <v>1.0426398484221246</v>
      </c>
      <c r="AO63" s="8">
        <v>1956</v>
      </c>
      <c r="AP63" s="1">
        <v>1.0514712938341286</v>
      </c>
      <c r="AR63" s="8">
        <v>1956</v>
      </c>
      <c r="AS63" s="1">
        <v>1.0493812639643885</v>
      </c>
      <c r="AU63" s="1">
        <f t="shared" si="10"/>
        <v>1.0478308020735472</v>
      </c>
    </row>
    <row r="64" spans="1:47" x14ac:dyDescent="0.35">
      <c r="A64" t="s">
        <v>33</v>
      </c>
      <c r="B64">
        <v>2010</v>
      </c>
      <c r="C64" s="7">
        <v>2010.9166666666665</v>
      </c>
      <c r="D64" s="1">
        <v>1.0798546310850603</v>
      </c>
      <c r="E64" s="7">
        <v>2010.9166666666665</v>
      </c>
      <c r="F64" s="1">
        <v>1.054742336160635</v>
      </c>
      <c r="G64" s="7">
        <v>2010.9166666666665</v>
      </c>
      <c r="H64" s="1">
        <v>1.0739784782066546</v>
      </c>
      <c r="I64" s="7">
        <v>2010.9166666666665</v>
      </c>
      <c r="J64" s="1">
        <v>1.0622406666662803</v>
      </c>
      <c r="L64" s="1">
        <f t="shared" si="0"/>
        <v>1.0677040280296575</v>
      </c>
      <c r="M64" s="1"/>
      <c r="N64" s="8">
        <v>1955</v>
      </c>
      <c r="O64" s="1">
        <f t="shared" si="1"/>
        <v>1.0421906015293223</v>
      </c>
      <c r="P64" s="1"/>
      <c r="Q64" s="7">
        <f t="shared" si="2"/>
        <v>2.3342188190924871</v>
      </c>
      <c r="R64" s="7">
        <f t="shared" si="3"/>
        <v>1.7823931708650091</v>
      </c>
      <c r="S64" s="7">
        <f t="shared" si="12"/>
        <v>1.1778259039143719</v>
      </c>
      <c r="T64" s="7">
        <f t="shared" si="5"/>
        <v>1.1769238198849172</v>
      </c>
      <c r="U64" s="1"/>
      <c r="V64" s="7">
        <f t="shared" si="6"/>
        <v>1.6178404284391963</v>
      </c>
      <c r="W64" s="1"/>
      <c r="X64" s="1"/>
      <c r="Y64" s="1"/>
      <c r="Z64" s="1"/>
      <c r="AF64" s="7">
        <f t="shared" si="8"/>
        <v>1.6607020296163029</v>
      </c>
      <c r="AI64" s="8"/>
      <c r="AJ64" s="1"/>
      <c r="AL64" s="8">
        <v>1955</v>
      </c>
      <c r="AM64" s="1">
        <f t="shared" si="9"/>
        <v>1.0529376856846071</v>
      </c>
      <c r="AO64" s="8">
        <v>1955</v>
      </c>
      <c r="AP64" s="1">
        <v>1.0415724088087097</v>
      </c>
      <c r="AR64" s="8">
        <v>1955</v>
      </c>
      <c r="AS64" s="1">
        <v>1.0320617100946505</v>
      </c>
      <c r="AU64" s="1">
        <f t="shared" si="10"/>
        <v>1.0421906015293223</v>
      </c>
    </row>
    <row r="65" spans="1:47" x14ac:dyDescent="0.35">
      <c r="A65" t="s">
        <v>35</v>
      </c>
      <c r="B65">
        <v>2010</v>
      </c>
      <c r="C65" s="7">
        <v>2010.8333333333333</v>
      </c>
      <c r="D65" s="1">
        <v>1.0637030194957771</v>
      </c>
      <c r="E65" s="7">
        <v>2010.8333333333333</v>
      </c>
      <c r="F65" s="1">
        <v>1.0488631101533812</v>
      </c>
      <c r="G65" s="7">
        <v>2010.8333333333333</v>
      </c>
      <c r="H65" s="1">
        <v>1.0593091853880736</v>
      </c>
      <c r="I65" s="7">
        <v>2010.8333333333333</v>
      </c>
      <c r="J65" s="1">
        <v>1.0527036795172293</v>
      </c>
      <c r="L65" s="1">
        <f t="shared" si="0"/>
        <v>1.0561447486386153</v>
      </c>
      <c r="M65" s="1"/>
      <c r="N65" s="8">
        <v>1954</v>
      </c>
      <c r="O65" s="1">
        <f t="shared" si="1"/>
        <v>1.0393896928276234</v>
      </c>
      <c r="P65" s="1"/>
      <c r="Q65" s="7">
        <f t="shared" si="2"/>
        <v>1.7920403667729006</v>
      </c>
      <c r="R65" s="7">
        <f t="shared" si="3"/>
        <v>1.6013133734021998</v>
      </c>
      <c r="S65" s="7">
        <f t="shared" si="12"/>
        <v>0.76708086563329203</v>
      </c>
      <c r="T65" s="7">
        <f t="shared" si="5"/>
        <v>0.87888890815507659</v>
      </c>
      <c r="U65" s="1"/>
      <c r="V65" s="7">
        <f t="shared" si="6"/>
        <v>1.2598308784908672</v>
      </c>
      <c r="W65" s="1"/>
      <c r="X65" s="1"/>
      <c r="Y65" s="1"/>
      <c r="Z65" s="1"/>
      <c r="AF65" s="7">
        <f t="shared" si="8"/>
        <v>1.2727108735626378</v>
      </c>
      <c r="AI65" s="8"/>
      <c r="AJ65" s="1"/>
      <c r="AL65" s="8">
        <v>1954</v>
      </c>
      <c r="AM65" s="1">
        <f>AVERAGEIF(B$4:B$807,AL65,F$4:F$807)</f>
        <v>1.0568859637534984</v>
      </c>
      <c r="AO65" s="8">
        <v>1954</v>
      </c>
      <c r="AP65" s="1">
        <v>1.0283327218120568</v>
      </c>
      <c r="AR65" s="8">
        <v>1954</v>
      </c>
      <c r="AS65" s="1">
        <v>1.0329503929173145</v>
      </c>
      <c r="AU65" s="1">
        <f t="shared" si="10"/>
        <v>1.0393896928276234</v>
      </c>
    </row>
    <row r="66" spans="1:47" x14ac:dyDescent="0.35">
      <c r="A66" t="s">
        <v>37</v>
      </c>
      <c r="B66">
        <v>2010</v>
      </c>
      <c r="C66" s="7">
        <v>2010.75</v>
      </c>
      <c r="D66" s="1">
        <v>1.0479021971652107</v>
      </c>
      <c r="E66" s="7">
        <v>2010.75</v>
      </c>
      <c r="F66" s="1">
        <v>1.0292866779284495</v>
      </c>
      <c r="G66" s="7">
        <v>2010.75</v>
      </c>
      <c r="H66" s="1">
        <v>1.0534009997844245</v>
      </c>
      <c r="I66" s="7">
        <v>2010.75</v>
      </c>
      <c r="J66" s="1">
        <v>1.0397830504858194</v>
      </c>
      <c r="L66" s="1">
        <f t="shared" si="0"/>
        <v>1.042593231340976</v>
      </c>
      <c r="M66" s="1"/>
      <c r="N66" s="8">
        <v>1953</v>
      </c>
      <c r="O66" s="1">
        <f t="shared" si="1"/>
        <v>1.0268379228969196</v>
      </c>
      <c r="P66" s="1"/>
      <c r="Q66" s="7">
        <f t="shared" si="2"/>
        <v>1.2616372333637602</v>
      </c>
      <c r="R66" s="7">
        <f t="shared" si="3"/>
        <v>0.99836047144514628</v>
      </c>
      <c r="S66" s="7">
        <f t="shared" si="12"/>
        <v>0.60164971963634817</v>
      </c>
      <c r="T66" s="7">
        <f t="shared" si="5"/>
        <v>0.47511374596945166</v>
      </c>
      <c r="U66" s="1"/>
      <c r="V66" s="7">
        <f t="shared" si="6"/>
        <v>0.83419029260367661</v>
      </c>
      <c r="W66" s="1"/>
      <c r="X66" s="1"/>
      <c r="Y66" s="1"/>
      <c r="Z66" s="1"/>
      <c r="AF66" s="7">
        <f t="shared" si="8"/>
        <v>0.81784957254876478</v>
      </c>
      <c r="AI66" s="8"/>
      <c r="AJ66" s="1"/>
      <c r="AL66" s="8"/>
      <c r="AM66" s="1"/>
      <c r="AO66" s="8">
        <v>1953</v>
      </c>
      <c r="AP66" s="1">
        <v>1.0362525950094852</v>
      </c>
      <c r="AR66" s="8">
        <v>1953</v>
      </c>
      <c r="AS66" s="1">
        <v>1.0174232507843544</v>
      </c>
      <c r="AU66" s="1">
        <f t="shared" si="10"/>
        <v>1.0268379228969198</v>
      </c>
    </row>
    <row r="67" spans="1:47" x14ac:dyDescent="0.35">
      <c r="A67" t="s">
        <v>39</v>
      </c>
      <c r="B67">
        <v>2010</v>
      </c>
      <c r="C67" s="7">
        <v>2010.6666666666665</v>
      </c>
      <c r="D67" s="1">
        <v>1.0226647606914077</v>
      </c>
      <c r="E67" s="7">
        <v>2010.6666666666665</v>
      </c>
      <c r="F67" s="1">
        <v>1.0014170106679654</v>
      </c>
      <c r="G67" s="7">
        <v>2010.6666666666665</v>
      </c>
      <c r="H67" s="1">
        <v>1.0367293018774117</v>
      </c>
      <c r="I67" s="7">
        <v>2010.6666666666665</v>
      </c>
      <c r="J67" s="1">
        <v>1.0147773232452331</v>
      </c>
      <c r="L67" s="1">
        <f t="shared" si="0"/>
        <v>1.0188970991205044</v>
      </c>
      <c r="M67" s="1"/>
      <c r="N67" s="8">
        <v>1952</v>
      </c>
      <c r="O67" s="1">
        <f t="shared" si="1"/>
        <v>1.0357027514736148</v>
      </c>
      <c r="P67" s="1"/>
      <c r="Q67" s="7">
        <f t="shared" si="2"/>
        <v>0.41446516188085286</v>
      </c>
      <c r="R67" s="7">
        <f t="shared" si="3"/>
        <v>0.13997644323159644</v>
      </c>
      <c r="S67" s="7">
        <f t="shared" si="12"/>
        <v>0.13483667829104903</v>
      </c>
      <c r="T67" s="7">
        <f t="shared" si="5"/>
        <v>-0.30632588422133283</v>
      </c>
      <c r="U67" s="1"/>
      <c r="V67" s="7">
        <f t="shared" si="6"/>
        <v>9.573809979554139E-2</v>
      </c>
      <c r="W67" s="1"/>
      <c r="X67" s="1"/>
      <c r="Y67" s="1"/>
      <c r="Z67" s="1"/>
      <c r="AF67" s="7">
        <f t="shared" si="8"/>
        <v>2.2480810950523858E-2</v>
      </c>
      <c r="AI67" s="8"/>
      <c r="AJ67" s="1"/>
      <c r="AL67" s="8"/>
      <c r="AM67" s="1"/>
      <c r="AO67" s="8">
        <v>1952</v>
      </c>
      <c r="AP67" s="1">
        <v>1.0410599460514203</v>
      </c>
      <c r="AR67" s="8">
        <v>1952</v>
      </c>
      <c r="AS67" s="1">
        <v>1.0303455568958093</v>
      </c>
      <c r="AU67" s="1">
        <f t="shared" si="10"/>
        <v>1.0357027514736148</v>
      </c>
    </row>
    <row r="68" spans="1:47" x14ac:dyDescent="0.35">
      <c r="A68" t="s">
        <v>41</v>
      </c>
      <c r="B68">
        <v>2010</v>
      </c>
      <c r="C68" s="7">
        <v>2010.5833333333333</v>
      </c>
      <c r="D68" s="1">
        <v>0.99498608262437571</v>
      </c>
      <c r="E68" s="7">
        <v>2010.5833333333333</v>
      </c>
      <c r="F68" s="1">
        <v>0.9760512895589244</v>
      </c>
      <c r="G68" s="7">
        <v>2010.5833333333333</v>
      </c>
      <c r="H68" s="1">
        <v>1.0203087580033818</v>
      </c>
      <c r="I68" s="7">
        <v>2010.5833333333333</v>
      </c>
      <c r="J68" s="1">
        <v>0.99500009043287718</v>
      </c>
      <c r="L68" s="1">
        <f t="shared" si="0"/>
        <v>0.99658655515488981</v>
      </c>
      <c r="M68" s="1"/>
      <c r="N68" s="8">
        <v>1951</v>
      </c>
      <c r="O68" s="1">
        <f t="shared" si="1"/>
        <v>1.0507646096678187</v>
      </c>
      <c r="P68" s="1"/>
      <c r="Q68" s="7">
        <f t="shared" si="2"/>
        <v>-0.51465468189947994</v>
      </c>
      <c r="R68" s="7">
        <f t="shared" si="3"/>
        <v>-0.64128619835696576</v>
      </c>
      <c r="S68" s="7">
        <f t="shared" si="12"/>
        <v>-0.32494396727568159</v>
      </c>
      <c r="T68" s="7">
        <f t="shared" si="5"/>
        <v>-0.92437283588127706</v>
      </c>
      <c r="U68" s="1"/>
      <c r="V68" s="7">
        <f t="shared" si="6"/>
        <v>-0.60131442085335107</v>
      </c>
      <c r="W68" s="1"/>
      <c r="X68" s="1"/>
      <c r="Y68" s="1"/>
      <c r="Z68" s="1"/>
      <c r="AF68" s="7">
        <f t="shared" si="8"/>
        <v>-0.7263802081985673</v>
      </c>
      <c r="AI68" s="8"/>
      <c r="AJ68" s="1"/>
      <c r="AL68" s="8"/>
      <c r="AM68" s="1"/>
      <c r="AO68" s="8">
        <v>1951</v>
      </c>
      <c r="AP68" s="1">
        <v>1.0628370800535278</v>
      </c>
      <c r="AR68" s="8">
        <v>1951</v>
      </c>
      <c r="AS68" s="1">
        <v>1.0386921392821094</v>
      </c>
      <c r="AU68" s="1">
        <f t="shared" si="10"/>
        <v>1.0507646096678185</v>
      </c>
    </row>
    <row r="69" spans="1:47" x14ac:dyDescent="0.35">
      <c r="A69" t="s">
        <v>43</v>
      </c>
      <c r="B69">
        <v>2010</v>
      </c>
      <c r="C69" s="7">
        <v>2010.5</v>
      </c>
      <c r="D69" s="1">
        <v>0.97260417836547952</v>
      </c>
      <c r="E69" s="7">
        <v>2010.5</v>
      </c>
      <c r="F69" s="1">
        <v>0.95768137367604766</v>
      </c>
      <c r="G69" s="7">
        <v>2010.5</v>
      </c>
      <c r="H69" s="1">
        <v>1.0100449773959608</v>
      </c>
      <c r="I69" s="7">
        <v>2010.5</v>
      </c>
      <c r="J69" s="1">
        <v>0.98207217607144837</v>
      </c>
      <c r="L69" s="1">
        <f t="shared" ref="L69:L132" si="13">AVERAGE(D69,F69,H69,J69)</f>
        <v>0.98060067637723414</v>
      </c>
      <c r="M69" s="1"/>
      <c r="N69" s="8">
        <v>1950</v>
      </c>
      <c r="O69" s="1">
        <f t="shared" ref="O69" si="14">AVERAGEIF(B$4:B$807,N69,L$4:L$807)</f>
        <v>1.0485011435121232</v>
      </c>
      <c r="P69" s="1"/>
      <c r="Q69" s="7">
        <f t="shared" ref="Q69:Q132" si="15">STANDARDIZE(D69, AVERAGE($D$5:$D$411), _xlfn.STDEV.P($L$5:$L$1820))</f>
        <v>-1.2659720438836661</v>
      </c>
      <c r="R69" s="7">
        <f t="shared" ref="R69:R132" si="16">STANDARDIZE(F69, AVERAGE($F$4:$F$747), _xlfn.STDEV.P($F$4:$F$747))</f>
        <v>-1.207078471587496</v>
      </c>
      <c r="S69" s="7">
        <f t="shared" si="12"/>
        <v>-0.61233321027748422</v>
      </c>
      <c r="T69" s="7">
        <f t="shared" ref="T69:T132" si="17">STANDARDIZE(J69,AVERAGE($J$4:$J$795),_xlfn.STDEV.P($J$4:$J$795))</f>
        <v>-1.328375667733976</v>
      </c>
      <c r="U69" s="1"/>
      <c r="V69" s="7">
        <f t="shared" ref="V69:V132" si="18">AVERAGE(Q69,R69,S69,T69)</f>
        <v>-1.1034398483706558</v>
      </c>
      <c r="W69" s="1"/>
      <c r="X69" s="1"/>
      <c r="Y69" s="1"/>
      <c r="Z69" s="1"/>
      <c r="AF69" s="7">
        <f t="shared" ref="AF69:AF132" si="19">STANDARDIZE(L69,L$1,L$2)</f>
        <v>-1.2629516827390033</v>
      </c>
      <c r="AI69" s="8"/>
      <c r="AJ69" s="1"/>
      <c r="AL69" s="8"/>
      <c r="AM69" s="1"/>
      <c r="AO69" s="8"/>
      <c r="AP69" s="1"/>
      <c r="AR69" s="8"/>
      <c r="AS69" s="1"/>
    </row>
    <row r="70" spans="1:47" x14ac:dyDescent="0.35">
      <c r="A70" t="s">
        <v>44</v>
      </c>
      <c r="B70">
        <v>2010</v>
      </c>
      <c r="C70" s="7">
        <v>2010.4166666666665</v>
      </c>
      <c r="D70" s="1">
        <v>0.96195478627247133</v>
      </c>
      <c r="E70" s="7">
        <v>2010.4166666666665</v>
      </c>
      <c r="F70" s="1">
        <v>0.9461343371762525</v>
      </c>
      <c r="G70" s="7">
        <v>2010.4166666666665</v>
      </c>
      <c r="H70" s="1">
        <v>1.004331537111506</v>
      </c>
      <c r="I70" s="7">
        <v>2010.4166666666665</v>
      </c>
      <c r="J70" s="1">
        <v>0.96958259593356633</v>
      </c>
      <c r="L70" s="1">
        <f t="shared" si="13"/>
        <v>0.97050081412344902</v>
      </c>
      <c r="M70" s="1"/>
      <c r="N70" s="8"/>
      <c r="O70" s="1"/>
      <c r="P70" s="1"/>
      <c r="Q70" s="7">
        <f t="shared" si="15"/>
        <v>-1.6234515988627272</v>
      </c>
      <c r="R70" s="7">
        <f t="shared" si="16"/>
        <v>-1.5627264817335234</v>
      </c>
      <c r="S70" s="7">
        <f t="shared" si="12"/>
        <v>-0.77231142309102074</v>
      </c>
      <c r="T70" s="7">
        <f t="shared" si="17"/>
        <v>-1.7186803683444689</v>
      </c>
      <c r="U70" s="1"/>
      <c r="V70" s="7">
        <f t="shared" si="18"/>
        <v>-1.4192924680079351</v>
      </c>
      <c r="W70" s="1"/>
      <c r="X70" s="1"/>
      <c r="Y70" s="1"/>
      <c r="Z70" s="1"/>
      <c r="AF70" s="7">
        <f t="shared" si="19"/>
        <v>-1.6019570047200267</v>
      </c>
    </row>
    <row r="71" spans="1:47" x14ac:dyDescent="0.35">
      <c r="A71" t="s">
        <v>42</v>
      </c>
      <c r="B71">
        <v>2010</v>
      </c>
      <c r="C71" s="7">
        <v>2010.3333333333333</v>
      </c>
      <c r="D71" s="1">
        <v>0.95134754599440907</v>
      </c>
      <c r="E71" s="7">
        <v>2010.3333333333333</v>
      </c>
      <c r="F71" s="1">
        <v>0.93688446502387512</v>
      </c>
      <c r="G71" s="7">
        <v>2010.3333333333333</v>
      </c>
      <c r="H71" s="1">
        <v>0.99996236716303599</v>
      </c>
      <c r="I71" s="7">
        <v>2010.3333333333333</v>
      </c>
      <c r="J71" s="1">
        <v>0.96766509907116649</v>
      </c>
      <c r="L71" s="1">
        <f t="shared" si="13"/>
        <v>0.96396486931312175</v>
      </c>
      <c r="M71" s="1"/>
      <c r="N71" s="1"/>
      <c r="Q71" s="7">
        <f t="shared" si="15"/>
        <v>-1.9795161987047412</v>
      </c>
      <c r="R71" s="7">
        <f t="shared" si="16"/>
        <v>-1.8476219720315339</v>
      </c>
      <c r="S71" s="7">
        <f t="shared" si="12"/>
        <v>-0.8946496230257649</v>
      </c>
      <c r="T71" s="7">
        <f t="shared" si="17"/>
        <v>-1.7786029622618207</v>
      </c>
      <c r="V71" s="7">
        <f t="shared" si="18"/>
        <v>-1.6250976890059652</v>
      </c>
      <c r="AF71" s="7">
        <f t="shared" si="19"/>
        <v>-1.8213382219286882</v>
      </c>
    </row>
    <row r="72" spans="1:47" x14ac:dyDescent="0.35">
      <c r="A72" t="s">
        <v>40</v>
      </c>
      <c r="B72">
        <v>2010</v>
      </c>
      <c r="C72" s="7">
        <v>2010.25</v>
      </c>
      <c r="D72" s="1">
        <v>0.94068449116812503</v>
      </c>
      <c r="E72" s="7">
        <v>2010.25</v>
      </c>
      <c r="F72" s="1">
        <v>0.93665392641215695</v>
      </c>
      <c r="G72" s="7">
        <v>2010.25</v>
      </c>
      <c r="H72" s="1">
        <v>0.99718861745941956</v>
      </c>
      <c r="I72" s="7">
        <v>2010.25</v>
      </c>
      <c r="J72" s="1">
        <v>0.95831597856031903</v>
      </c>
      <c r="L72" s="1">
        <f t="shared" si="13"/>
        <v>0.95821075340000506</v>
      </c>
      <c r="M72" s="1"/>
      <c r="N72" s="1"/>
      <c r="Q72" s="7">
        <f t="shared" si="15"/>
        <v>-2.3374543852909961</v>
      </c>
      <c r="R72" s="7">
        <f t="shared" si="16"/>
        <v>-1.8547225470163666</v>
      </c>
      <c r="S72" s="7">
        <f t="shared" si="12"/>
        <v>-0.97231552977969915</v>
      </c>
      <c r="T72" s="7">
        <f t="shared" si="17"/>
        <v>-2.070766961505476</v>
      </c>
      <c r="V72" s="7">
        <f t="shared" si="18"/>
        <v>-1.8088148558981345</v>
      </c>
      <c r="AF72" s="7">
        <f t="shared" si="19"/>
        <v>-2.0144770854920209</v>
      </c>
    </row>
    <row r="73" spans="1:47" x14ac:dyDescent="0.35">
      <c r="A73" t="s">
        <v>38</v>
      </c>
      <c r="B73">
        <v>2010</v>
      </c>
      <c r="C73" s="7">
        <v>2010.1666666666665</v>
      </c>
      <c r="D73" s="1">
        <v>0.94521472637233417</v>
      </c>
      <c r="E73" s="7">
        <v>2010.1666666666665</v>
      </c>
      <c r="F73" s="1">
        <v>0.93652958841250133</v>
      </c>
      <c r="G73" s="7">
        <v>2010.1666666666665</v>
      </c>
      <c r="H73" s="1">
        <v>0.99898742513140426</v>
      </c>
      <c r="I73" s="7">
        <v>2010.1666666666665</v>
      </c>
      <c r="J73" s="1">
        <v>0.96255003255827964</v>
      </c>
      <c r="L73" s="1">
        <f t="shared" si="13"/>
        <v>0.9608204431186298</v>
      </c>
      <c r="M73" s="1"/>
      <c r="N73" s="1"/>
      <c r="Q73" s="7">
        <f t="shared" si="15"/>
        <v>-2.1853831261423715</v>
      </c>
      <c r="R73" s="7">
        <f t="shared" si="16"/>
        <v>-1.8585521497169246</v>
      </c>
      <c r="S73" s="7">
        <f t="shared" si="12"/>
        <v>-0.92194832154224504</v>
      </c>
      <c r="T73" s="7">
        <f t="shared" si="17"/>
        <v>-1.938450970111155</v>
      </c>
      <c r="V73" s="7">
        <f t="shared" si="18"/>
        <v>-1.7260836418781738</v>
      </c>
      <c r="AF73" s="7">
        <f t="shared" si="19"/>
        <v>-1.9268819598256892</v>
      </c>
    </row>
    <row r="74" spans="1:47" x14ac:dyDescent="0.35">
      <c r="A74" t="s">
        <v>36</v>
      </c>
      <c r="B74">
        <v>2010</v>
      </c>
      <c r="C74" s="7">
        <v>2010.0833333333333</v>
      </c>
      <c r="D74" s="1">
        <v>0.96993030830205273</v>
      </c>
      <c r="E74" s="7">
        <v>2010.0833333333333</v>
      </c>
      <c r="F74" s="1">
        <v>0.94643101273225316</v>
      </c>
      <c r="G74" s="7">
        <v>2010.0833333333333</v>
      </c>
      <c r="H74" s="1">
        <v>1.0077607148762893</v>
      </c>
      <c r="I74" s="7">
        <v>2010.0833333333333</v>
      </c>
      <c r="J74" s="1">
        <v>0.99656860823908244</v>
      </c>
      <c r="L74" s="1">
        <f t="shared" si="13"/>
        <v>0.9801726610374194</v>
      </c>
      <c r="M74" s="1"/>
      <c r="N74" s="1"/>
      <c r="Q74" s="7">
        <f t="shared" si="15"/>
        <v>-1.3557287052965934</v>
      </c>
      <c r="R74" s="7">
        <f t="shared" si="16"/>
        <v>-1.553588892954578</v>
      </c>
      <c r="S74" s="7">
        <f t="shared" si="12"/>
        <v>-0.67629331440043616</v>
      </c>
      <c r="T74" s="7">
        <f t="shared" si="17"/>
        <v>-0.87535598615577559</v>
      </c>
      <c r="V74" s="7">
        <f t="shared" si="18"/>
        <v>-1.1152417247018458</v>
      </c>
      <c r="AF74" s="7">
        <f t="shared" si="19"/>
        <v>-1.2773181636315849</v>
      </c>
    </row>
    <row r="75" spans="1:47" x14ac:dyDescent="0.35">
      <c r="A75" t="s">
        <v>34</v>
      </c>
      <c r="B75">
        <v>2010</v>
      </c>
      <c r="C75" s="7">
        <v>2010</v>
      </c>
      <c r="D75" s="1">
        <v>1.0105150737257527</v>
      </c>
      <c r="E75" s="7">
        <v>2010</v>
      </c>
      <c r="F75" s="1">
        <v>0.96771291714963004</v>
      </c>
      <c r="G75" s="7">
        <v>2010</v>
      </c>
      <c r="H75" s="1">
        <v>1.0362173070020821</v>
      </c>
      <c r="I75" s="7">
        <v>2010</v>
      </c>
      <c r="J75" s="1">
        <v>1.0187023107574373</v>
      </c>
      <c r="L75" s="1">
        <f t="shared" si="13"/>
        <v>1.0082869021587255</v>
      </c>
      <c r="M75" s="1"/>
      <c r="N75" s="1"/>
      <c r="Q75" s="7">
        <f t="shared" si="15"/>
        <v>6.6236013781836413E-3</v>
      </c>
      <c r="R75" s="7">
        <f t="shared" si="16"/>
        <v>-0.89810755293349986</v>
      </c>
      <c r="S75" s="7">
        <f t="shared" si="12"/>
        <v>0.12050065287606809</v>
      </c>
      <c r="T75" s="7">
        <f t="shared" si="17"/>
        <v>-0.18366835218754624</v>
      </c>
      <c r="V75" s="7">
        <f t="shared" si="18"/>
        <v>-0.23866291271669859</v>
      </c>
      <c r="AF75" s="7">
        <f t="shared" si="19"/>
        <v>-0.3336540695981608</v>
      </c>
    </row>
    <row r="76" spans="1:47" x14ac:dyDescent="0.35">
      <c r="A76" t="s">
        <v>33</v>
      </c>
      <c r="B76">
        <v>2009</v>
      </c>
      <c r="C76" s="7">
        <v>2009.9166666666665</v>
      </c>
      <c r="D76" s="1">
        <v>1.0129198181287253</v>
      </c>
      <c r="E76" s="7">
        <v>2009.9166666666665</v>
      </c>
      <c r="F76" s="1">
        <v>0.97840376935489559</v>
      </c>
      <c r="G76" s="7">
        <v>2009.9166666666665</v>
      </c>
      <c r="H76" s="1">
        <v>1.0532722587475578</v>
      </c>
      <c r="I76" s="7">
        <v>2009.9166666666665</v>
      </c>
      <c r="J76" s="1">
        <v>1.0265654154465456</v>
      </c>
      <c r="L76" s="1">
        <f t="shared" si="13"/>
        <v>1.017790315419431</v>
      </c>
      <c r="M76" s="1"/>
      <c r="N76" s="1"/>
      <c r="Q76" s="7">
        <f t="shared" si="15"/>
        <v>8.7346233384329355E-2</v>
      </c>
      <c r="R76" s="7">
        <f t="shared" si="16"/>
        <v>-0.56882996611411019</v>
      </c>
      <c r="S76" s="7">
        <f t="shared" si="12"/>
        <v>0.59804492813275478</v>
      </c>
      <c r="T76" s="7">
        <f t="shared" si="17"/>
        <v>6.2057019495907757E-2</v>
      </c>
      <c r="V76" s="7">
        <f t="shared" si="18"/>
        <v>4.4654553724720422E-2</v>
      </c>
      <c r="AF76" s="7">
        <f t="shared" si="19"/>
        <v>-1.4668761540440429E-2</v>
      </c>
    </row>
    <row r="77" spans="1:47" x14ac:dyDescent="0.35">
      <c r="A77" t="s">
        <v>35</v>
      </c>
      <c r="B77">
        <v>2009</v>
      </c>
      <c r="C77" s="7">
        <v>2009.8333333333333</v>
      </c>
      <c r="D77" s="1">
        <v>1.0057534277364968</v>
      </c>
      <c r="E77" s="7">
        <v>2009.8333333333333</v>
      </c>
      <c r="F77" s="1">
        <v>0.9783027659276039</v>
      </c>
      <c r="G77" s="7">
        <v>2009.8333333333333</v>
      </c>
      <c r="H77" s="1">
        <v>1.0524181386013374</v>
      </c>
      <c r="I77" s="7">
        <v>2009.8333333333333</v>
      </c>
      <c r="J77" s="1">
        <v>1.0260253809948421</v>
      </c>
      <c r="L77" s="1">
        <f t="shared" si="13"/>
        <v>1.01562492831507</v>
      </c>
      <c r="M77" s="1"/>
      <c r="N77" s="1"/>
      <c r="Q77" s="7">
        <f t="shared" si="15"/>
        <v>-0.15321567154375049</v>
      </c>
      <c r="R77" s="7">
        <f t="shared" si="16"/>
        <v>-0.57194086542882672</v>
      </c>
      <c r="S77" s="7">
        <f t="shared" si="12"/>
        <v>0.57412928226661053</v>
      </c>
      <c r="T77" s="7">
        <f t="shared" si="17"/>
        <v>4.5180712793477656E-2</v>
      </c>
      <c r="V77" s="7">
        <f t="shared" si="18"/>
        <v>-2.6461635478122254E-2</v>
      </c>
      <c r="AF77" s="7">
        <f t="shared" si="19"/>
        <v>-8.735071839112335E-2</v>
      </c>
    </row>
    <row r="78" spans="1:47" x14ac:dyDescent="0.35">
      <c r="A78" t="s">
        <v>37</v>
      </c>
      <c r="B78">
        <v>2009</v>
      </c>
      <c r="C78" s="7">
        <v>2009.75</v>
      </c>
      <c r="D78" s="1">
        <v>1.0087750811852298</v>
      </c>
      <c r="E78" s="7">
        <v>2009.75</v>
      </c>
      <c r="F78" s="1">
        <v>0.98373315541875084</v>
      </c>
      <c r="G78" s="7">
        <v>2009.75</v>
      </c>
      <c r="H78" s="1">
        <v>1.0464090888839552</v>
      </c>
      <c r="I78" s="7">
        <v>2009.75</v>
      </c>
      <c r="J78" s="1">
        <v>1.0146342896513254</v>
      </c>
      <c r="L78" s="1">
        <f t="shared" si="13"/>
        <v>1.0133879037848152</v>
      </c>
      <c r="M78" s="1"/>
      <c r="N78" s="1"/>
      <c r="Q78" s="7">
        <f t="shared" si="15"/>
        <v>-5.1784592593879943E-2</v>
      </c>
      <c r="R78" s="7">
        <f t="shared" si="16"/>
        <v>-0.40468520490687671</v>
      </c>
      <c r="S78" s="7">
        <f t="shared" si="12"/>
        <v>0.40587390781033883</v>
      </c>
      <c r="T78" s="7">
        <f t="shared" si="17"/>
        <v>-0.31079574497173906</v>
      </c>
      <c r="V78" s="7">
        <f t="shared" si="18"/>
        <v>-9.0347908665539226E-2</v>
      </c>
      <c r="AF78" s="7">
        <f t="shared" si="19"/>
        <v>-0.16243720988007923</v>
      </c>
    </row>
    <row r="79" spans="1:47" x14ac:dyDescent="0.35">
      <c r="A79" t="s">
        <v>39</v>
      </c>
      <c r="B79">
        <v>2009</v>
      </c>
      <c r="C79" s="7">
        <v>2009.6666666666665</v>
      </c>
      <c r="D79" s="1">
        <v>0.99743613427156819</v>
      </c>
      <c r="E79" s="7">
        <v>2009.6666666666665</v>
      </c>
      <c r="F79" s="1">
        <v>0.98195770819196493</v>
      </c>
      <c r="G79" s="7">
        <v>2009.6666666666665</v>
      </c>
      <c r="H79" s="1">
        <v>1.0345615372998866</v>
      </c>
      <c r="I79" s="7">
        <v>2009.6666666666665</v>
      </c>
      <c r="J79" s="1">
        <v>1.0130265614469527</v>
      </c>
      <c r="L79" s="1">
        <f t="shared" si="13"/>
        <v>1.0067454853025932</v>
      </c>
      <c r="M79" s="1"/>
      <c r="N79" s="1"/>
      <c r="Q79" s="7">
        <f t="shared" si="15"/>
        <v>-0.43241117308087684</v>
      </c>
      <c r="R79" s="7">
        <f t="shared" si="16"/>
        <v>-0.4593688697014664</v>
      </c>
      <c r="S79" s="7">
        <f t="shared" si="12"/>
        <v>7.4138554980558866E-2</v>
      </c>
      <c r="T79" s="7">
        <f t="shared" si="17"/>
        <v>-0.36103793634592796</v>
      </c>
      <c r="V79" s="7">
        <f t="shared" si="18"/>
        <v>-0.29466985603692808</v>
      </c>
      <c r="AF79" s="7">
        <f t="shared" si="19"/>
        <v>-0.38539225220795531</v>
      </c>
    </row>
    <row r="80" spans="1:47" x14ac:dyDescent="0.35">
      <c r="A80" t="s">
        <v>41</v>
      </c>
      <c r="B80">
        <v>2009</v>
      </c>
      <c r="C80" s="7">
        <v>2009.5833333333333</v>
      </c>
      <c r="D80" s="1">
        <v>0.97578629376779491</v>
      </c>
      <c r="E80" s="7">
        <v>2009.5833333333333</v>
      </c>
      <c r="F80" s="1">
        <v>0.97576402203141299</v>
      </c>
      <c r="G80" s="7">
        <v>2009.5833333333333</v>
      </c>
      <c r="H80" s="1">
        <v>1.0132145452465917</v>
      </c>
      <c r="I80" s="7">
        <v>2009.5833333333333</v>
      </c>
      <c r="J80" s="1">
        <v>0.9931798779034694</v>
      </c>
      <c r="L80" s="1">
        <f t="shared" si="13"/>
        <v>0.98948618473731731</v>
      </c>
      <c r="M80" s="1"/>
      <c r="N80" s="1"/>
      <c r="Q80" s="7">
        <f t="shared" si="15"/>
        <v>-1.1591545666063885</v>
      </c>
      <c r="R80" s="7">
        <f t="shared" si="16"/>
        <v>-0.6501340204402174</v>
      </c>
      <c r="S80" s="7">
        <f t="shared" ref="S80:S143" si="20">STANDARDIZE(H80, AVERAGE($H$4:$H$891), _xlfn.STDEV.P($H$4:$H$891))</f>
        <v>-0.52358426482778664</v>
      </c>
      <c r="T80" s="7">
        <f t="shared" si="17"/>
        <v>-0.98125525294373306</v>
      </c>
      <c r="V80" s="7">
        <f t="shared" si="18"/>
        <v>-0.82853202620453137</v>
      </c>
      <c r="AF80" s="7">
        <f t="shared" si="19"/>
        <v>-0.96470656346065076</v>
      </c>
    </row>
    <row r="81" spans="1:32" x14ac:dyDescent="0.35">
      <c r="A81" t="s">
        <v>43</v>
      </c>
      <c r="B81">
        <v>2009</v>
      </c>
      <c r="C81" s="7">
        <v>2009.5</v>
      </c>
      <c r="D81" s="1">
        <v>0.96389001071885327</v>
      </c>
      <c r="E81" s="7">
        <v>2009.5</v>
      </c>
      <c r="F81" s="1">
        <v>0.96812781194590225</v>
      </c>
      <c r="G81" s="7">
        <v>2009.5</v>
      </c>
      <c r="H81" s="1">
        <v>1.0089071167080772</v>
      </c>
      <c r="I81" s="7">
        <v>2009.5</v>
      </c>
      <c r="J81" s="1">
        <v>0.97200978852347897</v>
      </c>
      <c r="L81" s="1">
        <f t="shared" si="13"/>
        <v>0.9782336819740779</v>
      </c>
      <c r="M81" s="1"/>
      <c r="N81" s="1"/>
      <c r="Q81" s="7">
        <f t="shared" si="15"/>
        <v>-1.5584898463199301</v>
      </c>
      <c r="R81" s="7">
        <f t="shared" si="16"/>
        <v>-0.88532881886465264</v>
      </c>
      <c r="S81" s="7">
        <f t="shared" si="20"/>
        <v>-0.64419368491544882</v>
      </c>
      <c r="T81" s="7">
        <f t="shared" si="17"/>
        <v>-1.6428295657817409</v>
      </c>
      <c r="V81" s="7">
        <f t="shared" si="18"/>
        <v>-1.182710478970443</v>
      </c>
      <c r="AF81" s="7">
        <f t="shared" si="19"/>
        <v>-1.3424006573493785</v>
      </c>
    </row>
    <row r="82" spans="1:32" x14ac:dyDescent="0.35">
      <c r="A82" t="s">
        <v>44</v>
      </c>
      <c r="B82">
        <v>2009</v>
      </c>
      <c r="C82" s="7">
        <v>2009.4166666666665</v>
      </c>
      <c r="D82" s="1">
        <v>0.96206632244496704</v>
      </c>
      <c r="E82" s="7">
        <v>2009.4166666666665</v>
      </c>
      <c r="F82" s="1">
        <v>0.95889142570374242</v>
      </c>
      <c r="G82" s="7">
        <v>2009.4166666666665</v>
      </c>
      <c r="H82" s="1">
        <v>1.0111673166067108</v>
      </c>
      <c r="I82" s="7">
        <v>2009.4166666666665</v>
      </c>
      <c r="J82" s="1">
        <v>0.96252771434463658</v>
      </c>
      <c r="L82" s="1">
        <f t="shared" si="13"/>
        <v>0.97366319477501417</v>
      </c>
      <c r="M82" s="1"/>
      <c r="N82" s="1"/>
      <c r="Q82" s="7">
        <f t="shared" si="15"/>
        <v>-1.61970754465197</v>
      </c>
      <c r="R82" s="7">
        <f t="shared" si="16"/>
        <v>-1.1698089439619068</v>
      </c>
      <c r="S82" s="7">
        <f t="shared" si="20"/>
        <v>-0.58090734211975392</v>
      </c>
      <c r="T82" s="7">
        <f t="shared" si="17"/>
        <v>-1.9391484237963832</v>
      </c>
      <c r="V82" s="7">
        <f t="shared" si="18"/>
        <v>-1.3273930636325035</v>
      </c>
      <c r="AF82" s="7">
        <f t="shared" si="19"/>
        <v>-1.4958106193464413</v>
      </c>
    </row>
    <row r="83" spans="1:32" x14ac:dyDescent="0.35">
      <c r="A83" t="s">
        <v>42</v>
      </c>
      <c r="B83">
        <v>2009</v>
      </c>
      <c r="C83" s="7">
        <v>2009.3333333333333</v>
      </c>
      <c r="D83" s="1">
        <v>0.96015141618406175</v>
      </c>
      <c r="E83" s="7">
        <v>2009.3333333333333</v>
      </c>
      <c r="F83" s="1">
        <v>0.94215909825186894</v>
      </c>
      <c r="G83" s="7">
        <v>2009.3333333333333</v>
      </c>
      <c r="H83" s="1">
        <v>1.0112068674058616</v>
      </c>
      <c r="I83" s="7">
        <v>2009.3333333333333</v>
      </c>
      <c r="J83" s="1">
        <v>0.95455801055253908</v>
      </c>
      <c r="L83" s="1">
        <f t="shared" si="13"/>
        <v>0.96701884809858285</v>
      </c>
      <c r="M83" s="1"/>
      <c r="N83" s="1"/>
      <c r="Q83" s="7">
        <f t="shared" si="15"/>
        <v>-1.6839872548923762</v>
      </c>
      <c r="R83" s="7">
        <f t="shared" si="16"/>
        <v>-1.6851635947830168</v>
      </c>
      <c r="S83" s="7">
        <f t="shared" si="20"/>
        <v>-0.57979990669582615</v>
      </c>
      <c r="T83" s="7">
        <f t="shared" si="17"/>
        <v>-2.1882050628657903</v>
      </c>
      <c r="V83" s="7">
        <f t="shared" si="18"/>
        <v>-1.5342889548092522</v>
      </c>
      <c r="AF83" s="7">
        <f t="shared" si="19"/>
        <v>-1.71883038217073</v>
      </c>
    </row>
    <row r="84" spans="1:32" x14ac:dyDescent="0.35">
      <c r="A84" t="s">
        <v>40</v>
      </c>
      <c r="B84">
        <v>2009</v>
      </c>
      <c r="C84" s="7">
        <v>2009.25</v>
      </c>
      <c r="D84" s="1">
        <v>0.95459122138419339</v>
      </c>
      <c r="E84" s="7">
        <v>2009.25</v>
      </c>
      <c r="F84" s="1">
        <v>0.93278592941661798</v>
      </c>
      <c r="G84" s="7">
        <v>2009.25</v>
      </c>
      <c r="H84" s="1">
        <v>1.0121520189928528</v>
      </c>
      <c r="I84" s="7">
        <v>2009.25</v>
      </c>
      <c r="J84" s="1">
        <v>0.95157733861365057</v>
      </c>
      <c r="L84" s="1">
        <f t="shared" si="13"/>
        <v>0.96277662710182854</v>
      </c>
      <c r="M84" s="1"/>
      <c r="N84" s="1"/>
      <c r="Q84" s="7">
        <f t="shared" si="15"/>
        <v>-1.8706322713679004</v>
      </c>
      <c r="R84" s="7">
        <f t="shared" si="16"/>
        <v>-1.973856615289092</v>
      </c>
      <c r="S84" s="7">
        <f t="shared" si="20"/>
        <v>-0.55333535045707094</v>
      </c>
      <c r="T84" s="7">
        <f t="shared" si="17"/>
        <v>-2.2813523308990344</v>
      </c>
      <c r="V84" s="7">
        <f t="shared" si="18"/>
        <v>-1.6697941420032745</v>
      </c>
      <c r="AF84" s="7">
        <f t="shared" si="19"/>
        <v>-1.8612219771036593</v>
      </c>
    </row>
    <row r="85" spans="1:32" x14ac:dyDescent="0.35">
      <c r="A85" t="s">
        <v>38</v>
      </c>
      <c r="B85">
        <v>2009</v>
      </c>
      <c r="C85" s="7">
        <v>2009.1666666666665</v>
      </c>
      <c r="D85" s="1">
        <v>0.95924539397100372</v>
      </c>
      <c r="E85" s="7">
        <v>2009.1666666666665</v>
      </c>
      <c r="F85" s="1">
        <v>0.9318217419256335</v>
      </c>
      <c r="G85" s="7">
        <v>2009.1666666666665</v>
      </c>
      <c r="H85" s="1">
        <v>1.0105668897374429</v>
      </c>
      <c r="I85" s="7">
        <v>2009.1666666666665</v>
      </c>
      <c r="J85" s="1">
        <v>0.9602773817093565</v>
      </c>
      <c r="L85" s="1">
        <f t="shared" si="13"/>
        <v>0.96547785183585921</v>
      </c>
      <c r="M85" s="1"/>
      <c r="N85" s="1"/>
      <c r="Q85" s="7">
        <f t="shared" si="15"/>
        <v>-1.7144006733012798</v>
      </c>
      <c r="R85" s="7">
        <f t="shared" si="16"/>
        <v>-2.0035535303878191</v>
      </c>
      <c r="S85" s="7">
        <f t="shared" si="20"/>
        <v>-0.59771949253848666</v>
      </c>
      <c r="T85" s="7">
        <f t="shared" si="17"/>
        <v>-2.0094722774240164</v>
      </c>
      <c r="V85" s="7">
        <f t="shared" si="18"/>
        <v>-1.5812864934129007</v>
      </c>
      <c r="AF85" s="7">
        <f t="shared" si="19"/>
        <v>-1.7705544474192834</v>
      </c>
    </row>
    <row r="86" spans="1:32" x14ac:dyDescent="0.35">
      <c r="A86" t="s">
        <v>36</v>
      </c>
      <c r="B86">
        <v>2009</v>
      </c>
      <c r="C86" s="7">
        <v>2009.0833333333333</v>
      </c>
      <c r="D86" s="1">
        <v>0.99951570890596209</v>
      </c>
      <c r="E86" s="7">
        <v>2009.0833333333333</v>
      </c>
      <c r="F86" s="1">
        <v>0.94630332698746045</v>
      </c>
      <c r="G86" s="7">
        <v>2009.0833333333333</v>
      </c>
      <c r="H86" s="1">
        <v>1.0257132872526824</v>
      </c>
      <c r="I86" s="7">
        <v>2009.0833333333333</v>
      </c>
      <c r="J86" s="1">
        <v>1.0022448887875948</v>
      </c>
      <c r="L86" s="1">
        <f t="shared" si="13"/>
        <v>0.99344430298342501</v>
      </c>
      <c r="M86" s="1"/>
      <c r="N86" s="1"/>
      <c r="Q86" s="7">
        <f t="shared" si="15"/>
        <v>-0.36260386310898141</v>
      </c>
      <c r="R86" s="7">
        <f t="shared" si="16"/>
        <v>-1.5575216059983403</v>
      </c>
      <c r="S86" s="7">
        <f t="shared" si="20"/>
        <v>-0.17361536535539371</v>
      </c>
      <c r="T86" s="7">
        <f t="shared" si="17"/>
        <v>-0.69796980058268998</v>
      </c>
      <c r="V86" s="7">
        <f t="shared" si="18"/>
        <v>-0.69792765876135132</v>
      </c>
      <c r="AF86" s="7">
        <f t="shared" si="19"/>
        <v>-0.83185097427102284</v>
      </c>
    </row>
    <row r="87" spans="1:32" x14ac:dyDescent="0.35">
      <c r="A87" t="s">
        <v>34</v>
      </c>
      <c r="B87">
        <v>2009</v>
      </c>
      <c r="C87" s="7">
        <v>2009</v>
      </c>
      <c r="D87" s="1">
        <v>1.0318144042425184</v>
      </c>
      <c r="E87" s="7">
        <v>2009</v>
      </c>
      <c r="F87" s="1">
        <v>0.99375513422397876</v>
      </c>
      <c r="G87" s="7">
        <v>2009</v>
      </c>
      <c r="H87" s="1">
        <v>1.0433034414986557</v>
      </c>
      <c r="I87" s="7">
        <v>2009</v>
      </c>
      <c r="J87" s="1">
        <v>1.0207349278394566</v>
      </c>
      <c r="L87" s="1">
        <f t="shared" si="13"/>
        <v>1.0224019769511523</v>
      </c>
      <c r="M87" s="1"/>
      <c r="N87" s="1"/>
      <c r="Q87" s="7">
        <f t="shared" si="15"/>
        <v>0.72160105060594959</v>
      </c>
      <c r="R87" s="7">
        <f t="shared" si="16"/>
        <v>-9.6008877446735669E-2</v>
      </c>
      <c r="S87" s="7">
        <f t="shared" si="20"/>
        <v>0.31891475647711343</v>
      </c>
      <c r="T87" s="7">
        <f t="shared" si="17"/>
        <v>-0.12014820235904707</v>
      </c>
      <c r="V87" s="7">
        <f t="shared" si="18"/>
        <v>0.20608968181932005</v>
      </c>
      <c r="AF87" s="7">
        <f t="shared" si="19"/>
        <v>0.14012323097834675</v>
      </c>
    </row>
    <row r="88" spans="1:32" x14ac:dyDescent="0.35">
      <c r="A88" t="s">
        <v>33</v>
      </c>
      <c r="B88">
        <v>2008</v>
      </c>
      <c r="C88" s="7">
        <v>2008.9166666666665</v>
      </c>
      <c r="D88" s="1">
        <v>1.0436822917859396</v>
      </c>
      <c r="E88" s="7">
        <v>2008.9166666666665</v>
      </c>
      <c r="F88" s="1">
        <v>1.0141066662925569</v>
      </c>
      <c r="G88" s="7">
        <v>2008.9166666666665</v>
      </c>
      <c r="H88" s="1">
        <v>1.0443351933649094</v>
      </c>
      <c r="I88" s="7">
        <v>2008.9166666666665</v>
      </c>
      <c r="J88" s="1">
        <v>1.0241295274070303</v>
      </c>
      <c r="L88" s="1">
        <f t="shared" si="13"/>
        <v>1.0315634197126091</v>
      </c>
      <c r="M88" s="1"/>
      <c r="N88" s="1"/>
      <c r="Q88" s="7">
        <f t="shared" si="15"/>
        <v>1.11998314796052</v>
      </c>
      <c r="R88" s="7">
        <f t="shared" si="16"/>
        <v>0.53081705176386818</v>
      </c>
      <c r="S88" s="7">
        <f t="shared" si="20"/>
        <v>0.34780414910442264</v>
      </c>
      <c r="T88" s="7">
        <f t="shared" si="17"/>
        <v>-1.406551957167804E-2</v>
      </c>
      <c r="V88" s="7">
        <f t="shared" si="18"/>
        <v>0.49613470731428316</v>
      </c>
      <c r="AF88" s="7">
        <f t="shared" si="19"/>
        <v>0.44763018257013026</v>
      </c>
    </row>
    <row r="89" spans="1:32" x14ac:dyDescent="0.35">
      <c r="A89" t="s">
        <v>35</v>
      </c>
      <c r="B89">
        <v>2008</v>
      </c>
      <c r="C89" s="7">
        <v>2008.8333333333333</v>
      </c>
      <c r="D89" s="1">
        <v>1.0214573908996565</v>
      </c>
      <c r="E89" s="7">
        <v>2008.8333333333333</v>
      </c>
      <c r="F89" s="1">
        <v>1.018173442572107</v>
      </c>
      <c r="G89" s="7">
        <v>2008.8333333333333</v>
      </c>
      <c r="H89" s="1">
        <v>1.0369420779469636</v>
      </c>
      <c r="I89" s="7">
        <v>2008.8333333333333</v>
      </c>
      <c r="J89" s="1">
        <v>1.0266821665550245</v>
      </c>
      <c r="L89" s="1">
        <f t="shared" si="13"/>
        <v>1.0258137694934377</v>
      </c>
      <c r="M89" s="1"/>
      <c r="N89" s="1"/>
      <c r="Q89" s="7">
        <f t="shared" si="15"/>
        <v>0.37393608641055021</v>
      </c>
      <c r="R89" s="7">
        <f t="shared" si="16"/>
        <v>0.65607350969198797</v>
      </c>
      <c r="S89" s="7">
        <f t="shared" si="20"/>
        <v>0.14079447843276166</v>
      </c>
      <c r="T89" s="7">
        <f t="shared" si="17"/>
        <v>6.5705541378770396E-2</v>
      </c>
      <c r="V89" s="7">
        <f t="shared" si="18"/>
        <v>0.30912740397851757</v>
      </c>
      <c r="AF89" s="7">
        <f t="shared" si="19"/>
        <v>0.25464121154748326</v>
      </c>
    </row>
    <row r="90" spans="1:32" x14ac:dyDescent="0.35">
      <c r="A90" t="s">
        <v>37</v>
      </c>
      <c r="B90">
        <v>2008</v>
      </c>
      <c r="C90" s="7">
        <v>2008.75</v>
      </c>
      <c r="D90" s="1">
        <v>1.0004679878415055</v>
      </c>
      <c r="E90" s="7">
        <v>2008.75</v>
      </c>
      <c r="F90" s="1">
        <v>1.0189068979246438</v>
      </c>
      <c r="G90" s="7">
        <v>2008.75</v>
      </c>
      <c r="H90" s="1">
        <v>1.0286551183252661</v>
      </c>
      <c r="I90" s="7">
        <v>2008.75</v>
      </c>
      <c r="J90" s="1">
        <v>1.0274264910776292</v>
      </c>
      <c r="L90" s="1">
        <f t="shared" si="13"/>
        <v>1.0188641237922611</v>
      </c>
      <c r="M90" s="1"/>
      <c r="N90" s="1"/>
      <c r="Q90" s="7">
        <f t="shared" si="15"/>
        <v>-0.3306376957333349</v>
      </c>
      <c r="R90" s="7">
        <f t="shared" si="16"/>
        <v>0.67866388919458354</v>
      </c>
      <c r="S90" s="7">
        <f t="shared" si="20"/>
        <v>-9.1243124820777455E-2</v>
      </c>
      <c r="T90" s="7">
        <f t="shared" si="17"/>
        <v>8.8965999836545157E-2</v>
      </c>
      <c r="V90" s="7">
        <f t="shared" si="18"/>
        <v>8.6437267119254091E-2</v>
      </c>
      <c r="AF90" s="7">
        <f t="shared" si="19"/>
        <v>2.1373982808945542E-2</v>
      </c>
    </row>
    <row r="91" spans="1:32" x14ac:dyDescent="0.35">
      <c r="A91" t="s">
        <v>39</v>
      </c>
      <c r="B91">
        <v>2008</v>
      </c>
      <c r="C91" s="7">
        <v>2008.6666666666665</v>
      </c>
      <c r="D91" s="1">
        <v>0.98340799947659208</v>
      </c>
      <c r="E91" s="7">
        <v>2008.6666666666665</v>
      </c>
      <c r="F91" s="1">
        <v>1.0039295414049945</v>
      </c>
      <c r="G91" s="7">
        <v>2008.6666666666665</v>
      </c>
      <c r="H91" s="1">
        <v>1.0191953881269262</v>
      </c>
      <c r="I91" s="7">
        <v>2008.6666666666665</v>
      </c>
      <c r="J91" s="1">
        <v>1.0242192742955427</v>
      </c>
      <c r="L91" s="1">
        <f t="shared" si="13"/>
        <v>1.007688050826014</v>
      </c>
      <c r="M91" s="1"/>
      <c r="N91" s="1"/>
      <c r="Q91" s="7">
        <f t="shared" si="15"/>
        <v>-0.90330860458654638</v>
      </c>
      <c r="R91" s="7">
        <f t="shared" si="16"/>
        <v>0.21736223456177614</v>
      </c>
      <c r="S91" s="7">
        <f t="shared" si="20"/>
        <v>-0.35611869111420924</v>
      </c>
      <c r="T91" s="7">
        <f t="shared" si="17"/>
        <v>-1.1260891068170438E-2</v>
      </c>
      <c r="V91" s="7">
        <f t="shared" si="18"/>
        <v>-0.26333148805178747</v>
      </c>
      <c r="AF91" s="7">
        <f t="shared" si="19"/>
        <v>-0.3537547188707344</v>
      </c>
    </row>
    <row r="92" spans="1:32" x14ac:dyDescent="0.35">
      <c r="A92" t="s">
        <v>41</v>
      </c>
      <c r="B92">
        <v>2008</v>
      </c>
      <c r="C92" s="7">
        <v>2008.5833333333333</v>
      </c>
      <c r="D92" s="1">
        <v>0.99830423250159162</v>
      </c>
      <c r="E92" s="7">
        <v>2008.5833333333333</v>
      </c>
      <c r="F92" s="1">
        <v>0.98383564709266702</v>
      </c>
      <c r="G92" s="7">
        <v>2008.5833333333333</v>
      </c>
      <c r="H92" s="1">
        <v>1.0080080017236777</v>
      </c>
      <c r="I92" s="7">
        <v>2008.5833333333333</v>
      </c>
      <c r="J92" s="1">
        <v>0.99864973721144001</v>
      </c>
      <c r="L92" s="1">
        <f t="shared" si="13"/>
        <v>0.99719940463234402</v>
      </c>
      <c r="M92" s="1"/>
      <c r="N92" s="1"/>
      <c r="Q92" s="7">
        <f t="shared" si="15"/>
        <v>-0.40327078964522234</v>
      </c>
      <c r="R92" s="7">
        <f t="shared" si="16"/>
        <v>-0.40152846768815631</v>
      </c>
      <c r="S92" s="7">
        <f t="shared" si="20"/>
        <v>-0.66936920109428577</v>
      </c>
      <c r="T92" s="7">
        <f t="shared" si="17"/>
        <v>-0.81031981908526363</v>
      </c>
      <c r="V92" s="7">
        <f t="shared" si="18"/>
        <v>-0.57112206937823196</v>
      </c>
      <c r="AF92" s="7">
        <f t="shared" si="19"/>
        <v>-0.70580970642242613</v>
      </c>
    </row>
    <row r="93" spans="1:32" x14ac:dyDescent="0.35">
      <c r="A93" t="s">
        <v>43</v>
      </c>
      <c r="B93">
        <v>2008</v>
      </c>
      <c r="C93" s="7">
        <v>2008.5</v>
      </c>
      <c r="D93" s="1">
        <v>1.0098390477365002</v>
      </c>
      <c r="E93" s="7">
        <v>2008.5</v>
      </c>
      <c r="F93" s="1">
        <v>0.95957889048622624</v>
      </c>
      <c r="G93" s="7">
        <v>2008.5</v>
      </c>
      <c r="H93" s="1">
        <v>1.0014215279865437</v>
      </c>
      <c r="I93" s="7">
        <v>2008.5</v>
      </c>
      <c r="J93" s="1">
        <v>0.9741020417230839</v>
      </c>
      <c r="L93" s="1">
        <f t="shared" si="13"/>
        <v>0.9862353769830885</v>
      </c>
      <c r="M93" s="1"/>
      <c r="N93" s="1"/>
      <c r="Q93" s="7">
        <f t="shared" si="15"/>
        <v>-1.6069287350263257E-2</v>
      </c>
      <c r="R93" s="7">
        <f t="shared" si="16"/>
        <v>-1.1486350711729725</v>
      </c>
      <c r="S93" s="7">
        <f t="shared" si="20"/>
        <v>-0.85379263859426135</v>
      </c>
      <c r="T93" s="7">
        <f t="shared" si="17"/>
        <v>-1.5774457618701685</v>
      </c>
      <c r="V93" s="7">
        <f t="shared" si="18"/>
        <v>-0.89898568974691639</v>
      </c>
      <c r="AF93" s="7">
        <f t="shared" si="19"/>
        <v>-1.0738210347008637</v>
      </c>
    </row>
    <row r="94" spans="1:32" x14ac:dyDescent="0.35">
      <c r="A94" t="s">
        <v>44</v>
      </c>
      <c r="B94">
        <v>2008</v>
      </c>
      <c r="C94" s="7">
        <v>2008.4166666666665</v>
      </c>
      <c r="D94" s="1">
        <v>1.0170600094190314</v>
      </c>
      <c r="E94" s="7">
        <v>2008.4166666666665</v>
      </c>
      <c r="F94" s="1">
        <v>0.94792083624810097</v>
      </c>
      <c r="G94" s="7">
        <v>2008.4166666666665</v>
      </c>
      <c r="H94" s="1">
        <v>0.99319267570170788</v>
      </c>
      <c r="I94" s="7">
        <v>2008.4166666666665</v>
      </c>
      <c r="J94" s="1">
        <v>0.96876251556513304</v>
      </c>
      <c r="L94" s="1">
        <f t="shared" si="13"/>
        <v>0.98173400923349341</v>
      </c>
      <c r="M94" s="1"/>
      <c r="N94" s="1"/>
      <c r="Q94" s="7">
        <f t="shared" si="15"/>
        <v>0.2263244705513606</v>
      </c>
      <c r="R94" s="7">
        <f t="shared" si="16"/>
        <v>-1.5077024207944327</v>
      </c>
      <c r="S94" s="7">
        <f t="shared" si="20"/>
        <v>-1.0842032172462186</v>
      </c>
      <c r="T94" s="7">
        <f t="shared" si="17"/>
        <v>-1.7443082292608707</v>
      </c>
      <c r="V94" s="7">
        <f t="shared" si="18"/>
        <v>-1.0274723491875404</v>
      </c>
      <c r="AF94" s="7">
        <f t="shared" si="19"/>
        <v>-1.2249109787973371</v>
      </c>
    </row>
    <row r="95" spans="1:32" x14ac:dyDescent="0.35">
      <c r="A95" t="s">
        <v>42</v>
      </c>
      <c r="B95">
        <v>2008</v>
      </c>
      <c r="C95" s="7">
        <v>2008.3333333333333</v>
      </c>
      <c r="D95" s="1">
        <v>1.0254914441986724</v>
      </c>
      <c r="E95" s="7">
        <v>2008.3333333333333</v>
      </c>
      <c r="F95" s="1">
        <v>0.93966091621254011</v>
      </c>
      <c r="G95" s="7">
        <v>2008.3333333333333</v>
      </c>
      <c r="H95" s="1">
        <v>0.99873914164954813</v>
      </c>
      <c r="I95" s="7">
        <v>2008.3333333333333</v>
      </c>
      <c r="J95" s="1">
        <v>0.96829700437110233</v>
      </c>
      <c r="L95" s="1">
        <f t="shared" si="13"/>
        <v>0.98304712660796578</v>
      </c>
      <c r="M95" s="1"/>
      <c r="N95" s="1"/>
      <c r="Q95" s="7">
        <f t="shared" si="15"/>
        <v>0.50935147589938667</v>
      </c>
      <c r="R95" s="7">
        <f t="shared" si="16"/>
        <v>-1.7621074471113267</v>
      </c>
      <c r="S95" s="7">
        <f t="shared" si="20"/>
        <v>-0.92890034094227902</v>
      </c>
      <c r="T95" s="7">
        <f t="shared" si="17"/>
        <v>-1.7588556524097005</v>
      </c>
      <c r="V95" s="7">
        <f t="shared" si="18"/>
        <v>-0.98512799114097993</v>
      </c>
      <c r="AF95" s="7">
        <f t="shared" si="19"/>
        <v>-1.1808357461707681</v>
      </c>
    </row>
    <row r="96" spans="1:32" x14ac:dyDescent="0.35">
      <c r="A96" t="s">
        <v>40</v>
      </c>
      <c r="B96">
        <v>2008</v>
      </c>
      <c r="C96" s="7">
        <v>2008.25</v>
      </c>
      <c r="D96" s="1">
        <v>1.0272162350165481</v>
      </c>
      <c r="E96" s="7">
        <v>2008.25</v>
      </c>
      <c r="F96" s="1">
        <v>0.9372378366544869</v>
      </c>
      <c r="G96" s="7">
        <v>2008.25</v>
      </c>
      <c r="H96" s="1">
        <v>0.9975780768140895</v>
      </c>
      <c r="I96" s="7">
        <v>2008.25</v>
      </c>
      <c r="J96" s="1">
        <v>0.9655145096789689</v>
      </c>
      <c r="L96" s="1">
        <f t="shared" si="13"/>
        <v>0.98188666454102336</v>
      </c>
      <c r="M96" s="1"/>
      <c r="N96" s="1"/>
      <c r="Q96" s="7">
        <f t="shared" si="15"/>
        <v>0.56724937735903735</v>
      </c>
      <c r="R96" s="7">
        <f t="shared" si="16"/>
        <v>-1.8367381476605478</v>
      </c>
      <c r="S96" s="7">
        <f t="shared" si="20"/>
        <v>-0.96141053936733212</v>
      </c>
      <c r="T96" s="7">
        <f t="shared" si="17"/>
        <v>-1.8458097970465905</v>
      </c>
      <c r="V96" s="7">
        <f t="shared" si="18"/>
        <v>-1.0191772766788583</v>
      </c>
      <c r="AF96" s="7">
        <f t="shared" si="19"/>
        <v>-1.219787051323781</v>
      </c>
    </row>
    <row r="97" spans="1:32" x14ac:dyDescent="0.35">
      <c r="A97" t="s">
        <v>38</v>
      </c>
      <c r="B97">
        <v>2008</v>
      </c>
      <c r="C97" s="7">
        <v>2008.1666666666665</v>
      </c>
      <c r="D97" s="1">
        <v>1.0265302147982585</v>
      </c>
      <c r="E97" s="7">
        <v>2008.1666666666665</v>
      </c>
      <c r="F97" s="1">
        <v>0.93702944220014606</v>
      </c>
      <c r="G97" s="7">
        <v>2008.1666666666665</v>
      </c>
      <c r="H97" s="1">
        <v>0.99873606871889953</v>
      </c>
      <c r="I97" s="7">
        <v>2008.1666666666665</v>
      </c>
      <c r="J97" s="1">
        <v>0.96665781603473488</v>
      </c>
      <c r="L97" s="1">
        <f t="shared" si="13"/>
        <v>0.98223838543800979</v>
      </c>
      <c r="M97" s="1"/>
      <c r="N97" s="1"/>
      <c r="Q97" s="7">
        <f t="shared" si="15"/>
        <v>0.54422100163589715</v>
      </c>
      <c r="R97" s="7">
        <f t="shared" si="16"/>
        <v>-1.8431566839675131</v>
      </c>
      <c r="S97" s="7">
        <f t="shared" si="20"/>
        <v>-0.92898638401419176</v>
      </c>
      <c r="T97" s="7">
        <f t="shared" si="17"/>
        <v>-1.8100809863126064</v>
      </c>
      <c r="V97" s="7">
        <f t="shared" si="18"/>
        <v>-1.0095007631646036</v>
      </c>
      <c r="AF97" s="7">
        <f t="shared" si="19"/>
        <v>-1.2079814194315586</v>
      </c>
    </row>
    <row r="98" spans="1:32" x14ac:dyDescent="0.35">
      <c r="A98" t="s">
        <v>36</v>
      </c>
      <c r="B98">
        <v>2008</v>
      </c>
      <c r="C98" s="7">
        <v>2008.0833333333333</v>
      </c>
      <c r="D98" s="1">
        <v>1.0411323368044609</v>
      </c>
      <c r="E98" s="7">
        <v>2008.0833333333333</v>
      </c>
      <c r="F98" s="1">
        <v>0.95987736939632873</v>
      </c>
      <c r="G98" s="7">
        <v>2008.0833333333333</v>
      </c>
      <c r="H98" s="1">
        <v>1.0137063254672689</v>
      </c>
      <c r="I98" s="7">
        <v>2008.0833333333333</v>
      </c>
      <c r="J98" s="1">
        <v>1.0024054427994877</v>
      </c>
      <c r="L98" s="1">
        <f t="shared" si="13"/>
        <v>1.0042803686168864</v>
      </c>
      <c r="M98" s="1"/>
      <c r="N98" s="1"/>
      <c r="Q98" s="7">
        <f t="shared" si="15"/>
        <v>1.0343860768756716</v>
      </c>
      <c r="R98" s="7">
        <f t="shared" si="16"/>
        <v>-1.139441939199207</v>
      </c>
      <c r="S98" s="7">
        <f t="shared" si="20"/>
        <v>-0.50981425641183398</v>
      </c>
      <c r="T98" s="7">
        <f t="shared" si="17"/>
        <v>-0.69295241930550611</v>
      </c>
      <c r="V98" s="7">
        <f t="shared" si="18"/>
        <v>-0.32695563451021886</v>
      </c>
      <c r="AF98" s="7">
        <f t="shared" si="19"/>
        <v>-0.46813473470524303</v>
      </c>
    </row>
    <row r="99" spans="1:32" x14ac:dyDescent="0.35">
      <c r="A99" t="s">
        <v>34</v>
      </c>
      <c r="B99">
        <v>2008</v>
      </c>
      <c r="C99" s="7">
        <v>2008</v>
      </c>
      <c r="D99" s="1">
        <v>1.0435873216827138</v>
      </c>
      <c r="E99" s="7">
        <v>2008</v>
      </c>
      <c r="F99" s="1">
        <v>1.0200532973356222</v>
      </c>
      <c r="G99" s="7">
        <v>2008</v>
      </c>
      <c r="H99" s="1">
        <v>1.0398241050921813</v>
      </c>
      <c r="I99" s="7">
        <v>2008</v>
      </c>
      <c r="J99" s="1">
        <v>1.0551370554227848</v>
      </c>
      <c r="L99" s="1">
        <f t="shared" si="13"/>
        <v>1.0396504448833255</v>
      </c>
      <c r="M99" s="1"/>
      <c r="N99" s="1"/>
      <c r="Q99" s="7">
        <f t="shared" si="15"/>
        <v>1.1167951847471305</v>
      </c>
      <c r="R99" s="7">
        <f t="shared" si="16"/>
        <v>0.71397292016147029</v>
      </c>
      <c r="S99" s="7">
        <f t="shared" si="20"/>
        <v>0.22149218927197165</v>
      </c>
      <c r="T99" s="7">
        <f t="shared" si="17"/>
        <v>0.95493294196610246</v>
      </c>
      <c r="V99" s="7">
        <f t="shared" si="18"/>
        <v>0.75179830903666867</v>
      </c>
      <c r="AF99" s="7">
        <f t="shared" si="19"/>
        <v>0.71907394120554069</v>
      </c>
    </row>
    <row r="100" spans="1:32" x14ac:dyDescent="0.35">
      <c r="A100" t="s">
        <v>33</v>
      </c>
      <c r="B100">
        <v>2007</v>
      </c>
      <c r="C100" s="7">
        <v>2007.9166666666665</v>
      </c>
      <c r="D100" s="1">
        <v>1.0434455807420111</v>
      </c>
      <c r="E100" s="7">
        <v>2007.9166666666665</v>
      </c>
      <c r="F100" s="1">
        <v>1.0266031118668169</v>
      </c>
      <c r="G100" s="7">
        <v>2007.9166666666665</v>
      </c>
      <c r="H100" s="1">
        <v>1.0559481033799532</v>
      </c>
      <c r="I100" s="7">
        <v>2007.9166666666665</v>
      </c>
      <c r="J100" s="1">
        <v>1.0847579101400671</v>
      </c>
      <c r="L100" s="1">
        <f t="shared" si="13"/>
        <v>1.0526886765322121</v>
      </c>
      <c r="M100" s="1"/>
      <c r="N100" s="1"/>
      <c r="Q100" s="7">
        <f t="shared" si="15"/>
        <v>1.1120372147182125</v>
      </c>
      <c r="R100" s="7">
        <f t="shared" si="16"/>
        <v>0.91570680269368776</v>
      </c>
      <c r="S100" s="7">
        <f t="shared" si="20"/>
        <v>0.67296946059387486</v>
      </c>
      <c r="T100" s="7">
        <f t="shared" si="17"/>
        <v>1.8805972721215822</v>
      </c>
      <c r="V100" s="7">
        <f t="shared" si="18"/>
        <v>1.1453276875318392</v>
      </c>
      <c r="AF100" s="7">
        <f t="shared" si="19"/>
        <v>1.1567066343185075</v>
      </c>
    </row>
    <row r="101" spans="1:32" x14ac:dyDescent="0.35">
      <c r="A101" t="s">
        <v>35</v>
      </c>
      <c r="B101">
        <v>2007</v>
      </c>
      <c r="C101" s="7">
        <v>2007.8333333333333</v>
      </c>
      <c r="D101" s="1">
        <v>1.0128070826570044</v>
      </c>
      <c r="E101" s="7">
        <v>2007.8333333333333</v>
      </c>
      <c r="F101" s="1">
        <v>1.024624071552251</v>
      </c>
      <c r="G101" s="7">
        <v>2007.8333333333333</v>
      </c>
      <c r="H101" s="1">
        <v>1.0648091840904887</v>
      </c>
      <c r="I101" s="7">
        <v>2007.8333333333333</v>
      </c>
      <c r="J101" s="1">
        <v>1.0954649066980786</v>
      </c>
      <c r="L101" s="1">
        <f t="shared" si="13"/>
        <v>1.0494263112494555</v>
      </c>
      <c r="M101" s="1"/>
      <c r="N101" s="1"/>
      <c r="Q101" s="7">
        <f t="shared" si="15"/>
        <v>8.3561921011454446E-2</v>
      </c>
      <c r="R101" s="7">
        <f t="shared" si="16"/>
        <v>0.85475248338530063</v>
      </c>
      <c r="S101" s="7">
        <f t="shared" si="20"/>
        <v>0.9210826437359072</v>
      </c>
      <c r="T101" s="7">
        <f t="shared" si="17"/>
        <v>2.2151954763748232</v>
      </c>
      <c r="V101" s="7">
        <f t="shared" si="18"/>
        <v>1.0186481311268714</v>
      </c>
      <c r="AF101" s="7">
        <f t="shared" si="19"/>
        <v>1.047204230690564</v>
      </c>
    </row>
    <row r="102" spans="1:32" x14ac:dyDescent="0.35">
      <c r="A102" t="s">
        <v>37</v>
      </c>
      <c r="B102">
        <v>2007</v>
      </c>
      <c r="C102" s="7">
        <v>2007.75</v>
      </c>
      <c r="D102" s="1">
        <v>0.99115240448255792</v>
      </c>
      <c r="E102" s="7">
        <v>2007.75</v>
      </c>
      <c r="F102" s="1">
        <v>1.0195029116308751</v>
      </c>
      <c r="G102" s="7">
        <v>2007.75</v>
      </c>
      <c r="H102" s="1">
        <v>1.0695007037740434</v>
      </c>
      <c r="I102" s="7">
        <v>2007.75</v>
      </c>
      <c r="J102" s="1">
        <v>1.1057921361818406</v>
      </c>
      <c r="L102" s="1">
        <f t="shared" si="13"/>
        <v>1.0464870390173293</v>
      </c>
      <c r="M102" s="1"/>
      <c r="N102" s="1"/>
      <c r="Q102" s="7">
        <f t="shared" si="15"/>
        <v>-0.64334386378900277</v>
      </c>
      <c r="R102" s="7">
        <f t="shared" si="16"/>
        <v>0.69702107449010775</v>
      </c>
      <c r="S102" s="7">
        <f t="shared" si="20"/>
        <v>1.0524467425953432</v>
      </c>
      <c r="T102" s="7">
        <f t="shared" si="17"/>
        <v>2.5379257977544736</v>
      </c>
      <c r="V102" s="7">
        <f t="shared" si="18"/>
        <v>0.91101243776273044</v>
      </c>
      <c r="AF102" s="7">
        <f t="shared" si="19"/>
        <v>0.94854655552589606</v>
      </c>
    </row>
    <row r="103" spans="1:32" x14ac:dyDescent="0.35">
      <c r="A103" t="s">
        <v>39</v>
      </c>
      <c r="B103">
        <v>2007</v>
      </c>
      <c r="C103" s="7">
        <v>2007.6666666666665</v>
      </c>
      <c r="D103" s="1">
        <v>0.97519384009052501</v>
      </c>
      <c r="E103" s="7">
        <v>2007.6666666666665</v>
      </c>
      <c r="F103" s="1">
        <v>1.0133487483502754</v>
      </c>
      <c r="G103" s="7">
        <v>2007.6666666666665</v>
      </c>
      <c r="H103" s="1">
        <v>1.0582122871271658</v>
      </c>
      <c r="I103" s="7">
        <v>2007.6666666666665</v>
      </c>
      <c r="J103" s="1">
        <v>1.0655223665205251</v>
      </c>
      <c r="L103" s="1">
        <f t="shared" si="13"/>
        <v>1.0280693105221228</v>
      </c>
      <c r="M103" s="1"/>
      <c r="N103" s="1"/>
      <c r="Q103" s="7">
        <f t="shared" si="15"/>
        <v>-1.1790420939925952</v>
      </c>
      <c r="R103" s="7">
        <f t="shared" si="16"/>
        <v>0.50747322600986289</v>
      </c>
      <c r="S103" s="7">
        <f t="shared" si="20"/>
        <v>0.7363673524640435</v>
      </c>
      <c r="T103" s="7">
        <f t="shared" si="17"/>
        <v>1.279478338528788</v>
      </c>
      <c r="V103" s="7">
        <f t="shared" si="18"/>
        <v>0.3360692057525248</v>
      </c>
      <c r="AF103" s="7">
        <f t="shared" si="19"/>
        <v>0.33034921562290831</v>
      </c>
    </row>
    <row r="104" spans="1:32" x14ac:dyDescent="0.35">
      <c r="A104" t="s">
        <v>41</v>
      </c>
      <c r="B104">
        <v>2007</v>
      </c>
      <c r="C104" s="7">
        <v>2007.5833333333333</v>
      </c>
      <c r="D104" s="1">
        <v>0.95950870179052461</v>
      </c>
      <c r="E104" s="7">
        <v>2007.5833333333333</v>
      </c>
      <c r="F104" s="1">
        <v>1.0110247163017205</v>
      </c>
      <c r="G104" s="7">
        <v>2007.5833333333333</v>
      </c>
      <c r="H104" s="1">
        <v>1.0370356224475972</v>
      </c>
      <c r="I104" s="7">
        <v>2007.5833333333333</v>
      </c>
      <c r="J104" s="1">
        <v>1.0190301142550655</v>
      </c>
      <c r="L104" s="1">
        <f t="shared" si="13"/>
        <v>1.0066497886987269</v>
      </c>
      <c r="M104" s="1"/>
      <c r="N104" s="1"/>
      <c r="Q104" s="7">
        <f t="shared" si="15"/>
        <v>-1.7055619375947946</v>
      </c>
      <c r="R104" s="7">
        <f t="shared" si="16"/>
        <v>0.43589318262827204</v>
      </c>
      <c r="S104" s="7">
        <f t="shared" si="20"/>
        <v>0.14341375531058498</v>
      </c>
      <c r="T104" s="7">
        <f t="shared" si="17"/>
        <v>-0.17342435322293939</v>
      </c>
      <c r="V104" s="7">
        <f t="shared" si="18"/>
        <v>-0.3249198382197192</v>
      </c>
      <c r="AF104" s="7">
        <f t="shared" si="19"/>
        <v>-0.38860434136234306</v>
      </c>
    </row>
    <row r="105" spans="1:32" x14ac:dyDescent="0.35">
      <c r="A105" t="s">
        <v>43</v>
      </c>
      <c r="B105">
        <v>2007</v>
      </c>
      <c r="C105" s="7">
        <v>2007.5</v>
      </c>
      <c r="D105" s="1">
        <v>0.97499592222155129</v>
      </c>
      <c r="E105" s="7">
        <v>2007.5</v>
      </c>
      <c r="F105" s="1">
        <v>0.99633317175932712</v>
      </c>
      <c r="G105" s="7">
        <v>2007.5</v>
      </c>
      <c r="H105" s="1">
        <v>1.0094640091987366</v>
      </c>
      <c r="I105" s="7">
        <v>2007.5</v>
      </c>
      <c r="J105" s="1">
        <v>0.99283233280251149</v>
      </c>
      <c r="L105" s="1">
        <f t="shared" si="13"/>
        <v>0.99340635899553176</v>
      </c>
      <c r="M105" s="1"/>
      <c r="N105" s="1"/>
      <c r="Q105" s="7">
        <f t="shared" si="15"/>
        <v>-1.1856858151651473</v>
      </c>
      <c r="R105" s="7">
        <f t="shared" si="16"/>
        <v>-1.6605480779142614E-2</v>
      </c>
      <c r="S105" s="7">
        <f t="shared" si="20"/>
        <v>-0.62860051145962992</v>
      </c>
      <c r="T105" s="7">
        <f t="shared" si="17"/>
        <v>-0.99211618542348778</v>
      </c>
      <c r="V105" s="7">
        <f t="shared" si="18"/>
        <v>-0.70575199820685197</v>
      </c>
      <c r="AF105" s="7">
        <f t="shared" si="19"/>
        <v>-0.83312457716874311</v>
      </c>
    </row>
    <row r="106" spans="1:32" x14ac:dyDescent="0.35">
      <c r="A106" t="s">
        <v>44</v>
      </c>
      <c r="B106">
        <v>2007</v>
      </c>
      <c r="C106" s="7">
        <v>2007.4166666666665</v>
      </c>
      <c r="D106" s="1">
        <v>0.98080591549100227</v>
      </c>
      <c r="E106" s="7">
        <v>2007.4166666666665</v>
      </c>
      <c r="F106" s="1">
        <v>0.97735983732705667</v>
      </c>
      <c r="G106" s="7">
        <v>2007.4166666666665</v>
      </c>
      <c r="H106" s="1">
        <v>0.99769362868031719</v>
      </c>
      <c r="I106" s="7">
        <v>2007.4166666666665</v>
      </c>
      <c r="J106" s="1">
        <v>0.97706256396553159</v>
      </c>
      <c r="L106" s="1">
        <f t="shared" si="13"/>
        <v>0.98323048636597699</v>
      </c>
      <c r="M106" s="1"/>
      <c r="N106" s="1"/>
      <c r="Q106" s="7">
        <f t="shared" si="15"/>
        <v>-0.99065554580749171</v>
      </c>
      <c r="R106" s="7">
        <f t="shared" si="16"/>
        <v>-0.60098300801669768</v>
      </c>
      <c r="S106" s="7">
        <f t="shared" si="20"/>
        <v>-0.95817504899270234</v>
      </c>
      <c r="T106" s="7">
        <f t="shared" si="17"/>
        <v>-1.4849281804356655</v>
      </c>
      <c r="V106" s="7">
        <f t="shared" si="18"/>
        <v>-1.0086854458131393</v>
      </c>
      <c r="AF106" s="7">
        <f t="shared" si="19"/>
        <v>-1.1746812133423967</v>
      </c>
    </row>
    <row r="107" spans="1:32" x14ac:dyDescent="0.35">
      <c r="A107" t="s">
        <v>42</v>
      </c>
      <c r="B107">
        <v>2007</v>
      </c>
      <c r="C107" s="7">
        <v>2007.3333333333333</v>
      </c>
      <c r="D107" s="1">
        <v>0.98818200924082666</v>
      </c>
      <c r="E107" s="7">
        <v>2007.3333333333333</v>
      </c>
      <c r="F107" s="1">
        <v>0.9630604053469618</v>
      </c>
      <c r="G107" s="7">
        <v>2007.3333333333333</v>
      </c>
      <c r="H107" s="1">
        <v>0.99023564637623029</v>
      </c>
      <c r="I107" s="7">
        <v>2007.3333333333333</v>
      </c>
      <c r="J107" s="1">
        <v>0.96621410396823626</v>
      </c>
      <c r="L107" s="1">
        <f t="shared" si="13"/>
        <v>0.97692304123306373</v>
      </c>
      <c r="M107" s="1"/>
      <c r="N107" s="1"/>
      <c r="Q107" s="7">
        <f t="shared" si="15"/>
        <v>-0.74305430358238478</v>
      </c>
      <c r="R107" s="7">
        <f t="shared" si="16"/>
        <v>-1.0414046287528425</v>
      </c>
      <c r="S107" s="7">
        <f t="shared" si="20"/>
        <v>-1.1670010138757265</v>
      </c>
      <c r="T107" s="7">
        <f t="shared" si="17"/>
        <v>-1.8239471774383376</v>
      </c>
      <c r="V107" s="7">
        <f t="shared" si="18"/>
        <v>-1.1938517809123228</v>
      </c>
      <c r="AF107" s="7">
        <f t="shared" si="19"/>
        <v>-1.3863927609290527</v>
      </c>
    </row>
    <row r="108" spans="1:32" x14ac:dyDescent="0.35">
      <c r="A108" t="s">
        <v>40</v>
      </c>
      <c r="B108">
        <v>2007</v>
      </c>
      <c r="C108" s="7">
        <v>2007.25</v>
      </c>
      <c r="D108" s="1">
        <v>0.99074760027819031</v>
      </c>
      <c r="E108" s="7">
        <v>2007.25</v>
      </c>
      <c r="F108" s="1">
        <v>0.94949294768437209</v>
      </c>
      <c r="G108" s="7">
        <v>2007.25</v>
      </c>
      <c r="H108" s="1">
        <v>0.98112451758209795</v>
      </c>
      <c r="I108" s="7">
        <v>2007.25</v>
      </c>
      <c r="J108" s="1">
        <v>0.96175950408502042</v>
      </c>
      <c r="L108" s="1">
        <f t="shared" si="13"/>
        <v>0.97078114240742019</v>
      </c>
      <c r="M108" s="1"/>
      <c r="N108" s="1"/>
      <c r="Q108" s="7">
        <f t="shared" si="15"/>
        <v>-0.65693236025595092</v>
      </c>
      <c r="R108" s="7">
        <f t="shared" si="16"/>
        <v>-1.4592814857737844</v>
      </c>
      <c r="S108" s="7">
        <f t="shared" si="20"/>
        <v>-1.4221156258486674</v>
      </c>
      <c r="T108" s="7">
        <f t="shared" si="17"/>
        <v>-1.963155321712508</v>
      </c>
      <c r="V108" s="7">
        <f t="shared" si="18"/>
        <v>-1.3753711983977277</v>
      </c>
      <c r="AF108" s="7">
        <f t="shared" si="19"/>
        <v>-1.5925476902382949</v>
      </c>
    </row>
    <row r="109" spans="1:32" x14ac:dyDescent="0.35">
      <c r="A109" t="s">
        <v>38</v>
      </c>
      <c r="B109">
        <v>2007</v>
      </c>
      <c r="C109" s="7">
        <v>2007.1666666666665</v>
      </c>
      <c r="D109" s="1">
        <v>0.99345445689229939</v>
      </c>
      <c r="E109" s="7">
        <v>2007.1666666666665</v>
      </c>
      <c r="F109" s="1">
        <v>0.95310058714715218</v>
      </c>
      <c r="G109" s="7">
        <v>2007.1666666666665</v>
      </c>
      <c r="H109" s="1">
        <v>0.98963503363528948</v>
      </c>
      <c r="I109" s="7">
        <v>2007.1666666666665</v>
      </c>
      <c r="J109" s="1">
        <v>0.97267730993851109</v>
      </c>
      <c r="L109" s="1">
        <f t="shared" si="13"/>
        <v>0.97721684690331312</v>
      </c>
      <c r="M109" s="1"/>
      <c r="N109" s="1"/>
      <c r="Q109" s="7">
        <f t="shared" si="15"/>
        <v>-0.56606840395189628</v>
      </c>
      <c r="R109" s="7">
        <f t="shared" si="16"/>
        <v>-1.3481664134099982</v>
      </c>
      <c r="S109" s="7">
        <f t="shared" si="20"/>
        <v>-1.18381836876262</v>
      </c>
      <c r="T109" s="7">
        <f t="shared" si="17"/>
        <v>-1.621969237158285</v>
      </c>
      <c r="V109" s="7">
        <f t="shared" si="18"/>
        <v>-1.1800056058206998</v>
      </c>
      <c r="AF109" s="7">
        <f t="shared" si="19"/>
        <v>-1.3765310733792628</v>
      </c>
    </row>
    <row r="110" spans="1:32" x14ac:dyDescent="0.35">
      <c r="A110" t="s">
        <v>36</v>
      </c>
      <c r="B110">
        <v>2007</v>
      </c>
      <c r="C110" s="7">
        <v>2007.0833333333333</v>
      </c>
      <c r="D110" s="1">
        <v>1.0053390114578336</v>
      </c>
      <c r="E110" s="7">
        <v>2007.0833333333333</v>
      </c>
      <c r="F110" s="1">
        <v>0.95081324813644819</v>
      </c>
      <c r="G110" s="7">
        <v>2007.0833333333333</v>
      </c>
      <c r="H110" s="1">
        <v>1.0081186239013618</v>
      </c>
      <c r="I110" s="7">
        <v>2007.0833333333333</v>
      </c>
      <c r="J110" s="1">
        <v>1.0173821426943739</v>
      </c>
      <c r="L110" s="1">
        <f t="shared" si="13"/>
        <v>0.99541325654750445</v>
      </c>
      <c r="M110" s="1"/>
      <c r="N110" s="1"/>
      <c r="Q110" s="7">
        <f t="shared" si="15"/>
        <v>-0.16712682680770918</v>
      </c>
      <c r="R110" s="7">
        <f t="shared" si="16"/>
        <v>-1.4186163134948111</v>
      </c>
      <c r="S110" s="7">
        <f t="shared" si="20"/>
        <v>-0.66627174362516794</v>
      </c>
      <c r="T110" s="7">
        <f t="shared" si="17"/>
        <v>-0.22492416662815032</v>
      </c>
      <c r="V110" s="7">
        <f t="shared" si="18"/>
        <v>-0.61923476263895971</v>
      </c>
      <c r="AF110" s="7">
        <f t="shared" si="19"/>
        <v>-0.76576237621056098</v>
      </c>
    </row>
    <row r="111" spans="1:32" x14ac:dyDescent="0.35">
      <c r="A111" t="s">
        <v>34</v>
      </c>
      <c r="B111">
        <v>2007</v>
      </c>
      <c r="C111" s="7">
        <v>2007</v>
      </c>
      <c r="D111" s="1">
        <v>1.0168058751335149</v>
      </c>
      <c r="E111" s="7">
        <v>2007</v>
      </c>
      <c r="F111" s="1">
        <v>0.97131499459900561</v>
      </c>
      <c r="G111" s="7">
        <v>2007</v>
      </c>
      <c r="H111" s="1">
        <v>1.0460497016068113</v>
      </c>
      <c r="I111" s="7">
        <v>2007</v>
      </c>
      <c r="J111" s="1">
        <v>1.0369608442895311</v>
      </c>
      <c r="L111" s="1">
        <f t="shared" si="13"/>
        <v>1.0177828539072158</v>
      </c>
      <c r="M111" s="1"/>
      <c r="N111" s="1"/>
      <c r="Q111" s="7">
        <f t="shared" si="15"/>
        <v>0.21779367269004496</v>
      </c>
      <c r="R111" s="7">
        <f t="shared" si="16"/>
        <v>-0.78716379023862781</v>
      </c>
      <c r="S111" s="7">
        <f t="shared" si="20"/>
        <v>0.39581094548939944</v>
      </c>
      <c r="T111" s="7">
        <f t="shared" si="17"/>
        <v>0.38691859990826438</v>
      </c>
      <c r="V111" s="7">
        <f t="shared" si="18"/>
        <v>5.3339856962270255E-2</v>
      </c>
      <c r="AF111" s="7">
        <f t="shared" si="19"/>
        <v>-1.4919209743338602E-2</v>
      </c>
    </row>
    <row r="112" spans="1:32" x14ac:dyDescent="0.35">
      <c r="A112" t="s">
        <v>33</v>
      </c>
      <c r="B112">
        <v>2006</v>
      </c>
      <c r="C112" s="7">
        <v>2006.9166666666665</v>
      </c>
      <c r="D112" s="1">
        <v>1.017950547045809</v>
      </c>
      <c r="E112" s="7">
        <v>2006.9166666666665</v>
      </c>
      <c r="F112" s="1">
        <v>0.98839934680894193</v>
      </c>
      <c r="G112" s="7">
        <v>2006.9166666666665</v>
      </c>
      <c r="H112" s="1">
        <v>1.069912377465204</v>
      </c>
      <c r="I112" s="7">
        <v>2006.9166666666665</v>
      </c>
      <c r="J112" s="1">
        <v>1.0398674426287626</v>
      </c>
      <c r="L112" s="1">
        <f t="shared" si="13"/>
        <v>1.0290324284871795</v>
      </c>
      <c r="M112" s="1"/>
      <c r="N112" s="1"/>
      <c r="Q112" s="7">
        <f t="shared" si="15"/>
        <v>0.2562181012611901</v>
      </c>
      <c r="R112" s="7">
        <f t="shared" si="16"/>
        <v>-0.26096679863775091</v>
      </c>
      <c r="S112" s="7">
        <f t="shared" si="20"/>
        <v>1.0639737417578987</v>
      </c>
      <c r="T112" s="7">
        <f t="shared" si="17"/>
        <v>0.4777510363924834</v>
      </c>
      <c r="V112" s="7">
        <f t="shared" si="18"/>
        <v>0.38424402019345527</v>
      </c>
      <c r="AF112" s="7">
        <f t="shared" si="19"/>
        <v>0.36267659867482843</v>
      </c>
    </row>
    <row r="113" spans="1:32" x14ac:dyDescent="0.35">
      <c r="A113" t="s">
        <v>35</v>
      </c>
      <c r="B113">
        <v>2006</v>
      </c>
      <c r="C113" s="7">
        <v>2006.8333333333333</v>
      </c>
      <c r="D113" s="1">
        <v>1.0127298732155101</v>
      </c>
      <c r="E113" s="7">
        <v>2006.8333333333333</v>
      </c>
      <c r="F113" s="1">
        <v>0.99915046570174681</v>
      </c>
      <c r="G113" s="7">
        <v>2006.8333333333333</v>
      </c>
      <c r="H113" s="1">
        <v>1.0747271663867948</v>
      </c>
      <c r="I113" s="7">
        <v>2006.8333333333333</v>
      </c>
      <c r="J113" s="1">
        <v>1.0464579062787844</v>
      </c>
      <c r="L113" s="1">
        <f t="shared" si="13"/>
        <v>1.0332663528957091</v>
      </c>
      <c r="M113" s="1"/>
      <c r="N113" s="1"/>
      <c r="Q113" s="7">
        <f t="shared" si="15"/>
        <v>8.0970148960571989E-2</v>
      </c>
      <c r="R113" s="7">
        <f t="shared" si="16"/>
        <v>7.0166998431068217E-2</v>
      </c>
      <c r="S113" s="7">
        <f t="shared" si="20"/>
        <v>1.1987894199485427</v>
      </c>
      <c r="T113" s="7">
        <f t="shared" si="17"/>
        <v>0.68370583338394586</v>
      </c>
      <c r="V113" s="7">
        <f t="shared" si="18"/>
        <v>0.50840810018103211</v>
      </c>
      <c r="AF113" s="7">
        <f t="shared" si="19"/>
        <v>0.50478971579372722</v>
      </c>
    </row>
    <row r="114" spans="1:32" x14ac:dyDescent="0.35">
      <c r="A114" t="s">
        <v>37</v>
      </c>
      <c r="B114">
        <v>2006</v>
      </c>
      <c r="C114" s="7">
        <v>2006.75</v>
      </c>
      <c r="D114" s="1">
        <v>0.99993031380348085</v>
      </c>
      <c r="E114" s="7">
        <v>2006.75</v>
      </c>
      <c r="F114" s="1">
        <v>1.0002871593983806</v>
      </c>
      <c r="G114" s="7">
        <v>2006.75</v>
      </c>
      <c r="H114" s="1">
        <v>1.0820841052778483</v>
      </c>
      <c r="I114" s="7">
        <v>2006.75</v>
      </c>
      <c r="J114" s="1">
        <v>1.0471554170496025</v>
      </c>
      <c r="L114" s="1">
        <f t="shared" si="13"/>
        <v>1.0323642488823279</v>
      </c>
      <c r="M114" s="1"/>
      <c r="N114" s="1"/>
      <c r="Q114" s="7">
        <f t="shared" si="15"/>
        <v>-0.348686376273798</v>
      </c>
      <c r="R114" s="7">
        <f t="shared" si="16"/>
        <v>0.1051770939963264</v>
      </c>
      <c r="S114" s="7">
        <f t="shared" si="20"/>
        <v>1.4047861359326774</v>
      </c>
      <c r="T114" s="7">
        <f t="shared" si="17"/>
        <v>0.70550334215295507</v>
      </c>
      <c r="V114" s="7">
        <f t="shared" si="18"/>
        <v>0.46669504895204023</v>
      </c>
      <c r="AF114" s="7">
        <f t="shared" si="19"/>
        <v>0.4745102868438863</v>
      </c>
    </row>
    <row r="115" spans="1:32" x14ac:dyDescent="0.35">
      <c r="A115" t="s">
        <v>39</v>
      </c>
      <c r="B115">
        <v>2006</v>
      </c>
      <c r="C115" s="7">
        <v>2006.6666666666665</v>
      </c>
      <c r="D115" s="1">
        <v>0.98761021869721188</v>
      </c>
      <c r="E115" s="7">
        <v>2006.6666666666665</v>
      </c>
      <c r="F115" s="1">
        <v>0.99522221591587523</v>
      </c>
      <c r="G115" s="7">
        <v>2006.6666666666665</v>
      </c>
      <c r="H115" s="1">
        <v>1.0775661769063976</v>
      </c>
      <c r="I115" s="7">
        <v>2006.6666666666665</v>
      </c>
      <c r="J115" s="1">
        <v>1.0400628330126107</v>
      </c>
      <c r="L115" s="1">
        <f t="shared" si="13"/>
        <v>1.0251153611330239</v>
      </c>
      <c r="M115" s="1"/>
      <c r="N115" s="1"/>
      <c r="Q115" s="7">
        <f t="shared" si="15"/>
        <v>-0.76224820942108962</v>
      </c>
      <c r="R115" s="7">
        <f t="shared" si="16"/>
        <v>-5.0822852057978922E-2</v>
      </c>
      <c r="S115" s="7">
        <f t="shared" si="20"/>
        <v>1.2782826510794649</v>
      </c>
      <c r="T115" s="7">
        <f t="shared" si="17"/>
        <v>0.48385706913562471</v>
      </c>
      <c r="V115" s="7">
        <f t="shared" si="18"/>
        <v>0.23726716468400527</v>
      </c>
      <c r="AF115" s="7">
        <f t="shared" si="19"/>
        <v>0.2311988966775369</v>
      </c>
    </row>
    <row r="116" spans="1:32" x14ac:dyDescent="0.35">
      <c r="A116" t="s">
        <v>41</v>
      </c>
      <c r="B116">
        <v>2006</v>
      </c>
      <c r="C116" s="7">
        <v>2006.5833333333333</v>
      </c>
      <c r="D116" s="1">
        <v>0.99660013333190478</v>
      </c>
      <c r="E116" s="7">
        <v>2006.5833333333333</v>
      </c>
      <c r="F116" s="1">
        <v>0.9788572505552241</v>
      </c>
      <c r="G116" s="7">
        <v>2006.5833333333333</v>
      </c>
      <c r="H116" s="1">
        <v>1.0731887955512829</v>
      </c>
      <c r="I116" s="7">
        <v>2006.5833333333333</v>
      </c>
      <c r="J116" s="1">
        <v>1.0291015083791573</v>
      </c>
      <c r="L116" s="1">
        <f t="shared" si="13"/>
        <v>1.0194369219543922</v>
      </c>
      <c r="M116" s="1"/>
      <c r="N116" s="1"/>
      <c r="Q116" s="7">
        <f t="shared" si="15"/>
        <v>-0.46047411237946478</v>
      </c>
      <c r="R116" s="7">
        <f t="shared" si="16"/>
        <v>-0.55486277318644195</v>
      </c>
      <c r="S116" s="7">
        <f t="shared" si="20"/>
        <v>1.1557145290497495</v>
      </c>
      <c r="T116" s="7">
        <f t="shared" si="17"/>
        <v>0.14131100416598438</v>
      </c>
      <c r="V116" s="7">
        <f t="shared" si="18"/>
        <v>7.042216191245676E-2</v>
      </c>
      <c r="AF116" s="7">
        <f t="shared" si="19"/>
        <v>4.060014852329568E-2</v>
      </c>
    </row>
    <row r="117" spans="1:32" x14ac:dyDescent="0.35">
      <c r="A117" t="s">
        <v>43</v>
      </c>
      <c r="B117">
        <v>2006</v>
      </c>
      <c r="C117" s="7">
        <v>2006.5</v>
      </c>
      <c r="D117" s="1">
        <v>0.98853720263020617</v>
      </c>
      <c r="E117" s="7">
        <v>2006.5</v>
      </c>
      <c r="F117" s="1">
        <v>0.95908356292779118</v>
      </c>
      <c r="G117" s="7">
        <v>2006.5</v>
      </c>
      <c r="H117" s="1">
        <v>1.0590716783627079</v>
      </c>
      <c r="I117" s="7">
        <v>2006.5</v>
      </c>
      <c r="J117" s="1">
        <v>1.0100177138188391</v>
      </c>
      <c r="L117" s="1">
        <f t="shared" si="13"/>
        <v>1.004177539434886</v>
      </c>
      <c r="M117" s="1"/>
      <c r="N117" s="1"/>
      <c r="Q117" s="7">
        <f t="shared" si="15"/>
        <v>-0.73113114649905664</v>
      </c>
      <c r="R117" s="7">
        <f t="shared" si="16"/>
        <v>-1.1638911293426202</v>
      </c>
      <c r="S117" s="7">
        <f t="shared" si="20"/>
        <v>0.76043059057011342</v>
      </c>
      <c r="T117" s="7">
        <f t="shared" si="17"/>
        <v>-0.4550657066719701</v>
      </c>
      <c r="V117" s="7">
        <f t="shared" si="18"/>
        <v>-0.39741434798588338</v>
      </c>
      <c r="AF117" s="7">
        <f t="shared" si="19"/>
        <v>-0.4715862312778859</v>
      </c>
    </row>
    <row r="118" spans="1:32" x14ac:dyDescent="0.35">
      <c r="A118" t="s">
        <v>44</v>
      </c>
      <c r="B118">
        <v>2006</v>
      </c>
      <c r="C118" s="7">
        <v>2006.4166666666665</v>
      </c>
      <c r="D118" s="1">
        <v>0.98512228109204836</v>
      </c>
      <c r="E118" s="7">
        <v>2006.4166666666665</v>
      </c>
      <c r="F118" s="1">
        <v>0.94621378655063504</v>
      </c>
      <c r="G118" s="7">
        <v>2006.4166666666665</v>
      </c>
      <c r="H118" s="1">
        <v>1.0399698798936547</v>
      </c>
      <c r="I118" s="7">
        <v>2006.4166666666665</v>
      </c>
      <c r="J118" s="1">
        <v>0.99873383189139164</v>
      </c>
      <c r="L118" s="1">
        <f t="shared" si="13"/>
        <v>0.99250994485693256</v>
      </c>
      <c r="M118" s="1"/>
      <c r="N118" s="1"/>
      <c r="Q118" s="7">
        <f t="shared" si="15"/>
        <v>-0.84576347678489072</v>
      </c>
      <c r="R118" s="7">
        <f t="shared" si="16"/>
        <v>-1.5602794459155456</v>
      </c>
      <c r="S118" s="7">
        <f t="shared" si="20"/>
        <v>0.2255739318039498</v>
      </c>
      <c r="T118" s="7">
        <f t="shared" si="17"/>
        <v>-0.80769182450745536</v>
      </c>
      <c r="V118" s="7">
        <f t="shared" si="18"/>
        <v>-0.74704020385098546</v>
      </c>
      <c r="AF118" s="7">
        <f t="shared" si="19"/>
        <v>-0.86321302353050167</v>
      </c>
    </row>
    <row r="119" spans="1:32" x14ac:dyDescent="0.35">
      <c r="A119" t="s">
        <v>42</v>
      </c>
      <c r="B119">
        <v>2006</v>
      </c>
      <c r="C119" s="7">
        <v>2006.3333333333333</v>
      </c>
      <c r="D119" s="1">
        <v>0.97367101440219628</v>
      </c>
      <c r="E119" s="7">
        <v>2006.3333333333333</v>
      </c>
      <c r="F119" s="1">
        <v>0.93514353929645411</v>
      </c>
      <c r="G119" s="7">
        <v>2006.3333333333333</v>
      </c>
      <c r="H119" s="1">
        <v>1.0332594170105507</v>
      </c>
      <c r="I119" s="7">
        <v>2006.3333333333333</v>
      </c>
      <c r="J119" s="1">
        <v>1.0021099385600378</v>
      </c>
      <c r="L119" s="1">
        <f t="shared" si="13"/>
        <v>0.98604597731730981</v>
      </c>
      <c r="M119" s="1"/>
      <c r="N119" s="1"/>
      <c r="Q119" s="7">
        <f t="shared" si="15"/>
        <v>-1.2301604155474797</v>
      </c>
      <c r="R119" s="7">
        <f t="shared" si="16"/>
        <v>-1.9012423767804314</v>
      </c>
      <c r="S119" s="7">
        <f t="shared" si="20"/>
        <v>3.7678757313120412E-2</v>
      </c>
      <c r="T119" s="7">
        <f t="shared" si="17"/>
        <v>-0.70218705269064285</v>
      </c>
      <c r="V119" s="7">
        <f t="shared" si="18"/>
        <v>-0.94897777192635846</v>
      </c>
      <c r="AF119" s="7">
        <f t="shared" si="19"/>
        <v>-1.0801782990938844</v>
      </c>
    </row>
    <row r="120" spans="1:32" x14ac:dyDescent="0.35">
      <c r="A120" t="s">
        <v>40</v>
      </c>
      <c r="B120">
        <v>2006</v>
      </c>
      <c r="C120" s="7">
        <v>2006.25</v>
      </c>
      <c r="D120" s="1">
        <v>0.96584625266733737</v>
      </c>
      <c r="E120" s="7">
        <v>2006.25</v>
      </c>
      <c r="F120" s="1">
        <v>0.92426696932610797</v>
      </c>
      <c r="G120" s="7">
        <v>2006.25</v>
      </c>
      <c r="H120" s="1">
        <v>1.0309957177708782</v>
      </c>
      <c r="I120" s="7">
        <v>2006.25</v>
      </c>
      <c r="J120" s="1">
        <v>0.99476352684201041</v>
      </c>
      <c r="L120" s="1">
        <f t="shared" si="13"/>
        <v>0.97896811665158345</v>
      </c>
      <c r="M120" s="1"/>
      <c r="N120" s="1"/>
      <c r="Q120" s="7">
        <f t="shared" si="15"/>
        <v>-1.4928225767642718</v>
      </c>
      <c r="R120" s="7">
        <f t="shared" si="16"/>
        <v>-2.2362400592798553</v>
      </c>
      <c r="S120" s="7">
        <f t="shared" si="20"/>
        <v>-2.5705568186088008E-2</v>
      </c>
      <c r="T120" s="7">
        <f t="shared" si="17"/>
        <v>-0.93176554888597973</v>
      </c>
      <c r="V120" s="7">
        <f t="shared" si="18"/>
        <v>-1.1716334382790485</v>
      </c>
      <c r="AF120" s="7">
        <f t="shared" si="19"/>
        <v>-1.3177491068563516</v>
      </c>
    </row>
    <row r="121" spans="1:32" x14ac:dyDescent="0.35">
      <c r="A121" t="s">
        <v>38</v>
      </c>
      <c r="B121">
        <v>2006</v>
      </c>
      <c r="C121" s="7">
        <v>2006.1666666666665</v>
      </c>
      <c r="D121" s="1">
        <v>0.96544071660089559</v>
      </c>
      <c r="E121" s="7">
        <v>2006.1666666666665</v>
      </c>
      <c r="F121" s="1">
        <v>0.92372417822700215</v>
      </c>
      <c r="G121" s="7">
        <v>2006.1666666666665</v>
      </c>
      <c r="H121" s="1">
        <v>1.0281430861995065</v>
      </c>
      <c r="I121" s="7">
        <v>2006.1666666666665</v>
      </c>
      <c r="J121" s="1">
        <v>0.99756542294615103</v>
      </c>
      <c r="L121" s="1">
        <f t="shared" si="13"/>
        <v>0.97871835099338877</v>
      </c>
      <c r="M121" s="1"/>
      <c r="N121" s="1"/>
      <c r="Q121" s="7">
        <f t="shared" si="15"/>
        <v>-1.506435640429638</v>
      </c>
      <c r="R121" s="7">
        <f t="shared" si="16"/>
        <v>-2.2529579915671039</v>
      </c>
      <c r="S121" s="7">
        <f t="shared" si="20"/>
        <v>-0.10558019326008927</v>
      </c>
      <c r="T121" s="7">
        <f t="shared" si="17"/>
        <v>-0.84420510185771336</v>
      </c>
      <c r="V121" s="7">
        <f t="shared" si="18"/>
        <v>-1.177294731778636</v>
      </c>
      <c r="AF121" s="7">
        <f t="shared" si="19"/>
        <v>-1.3261325763778649</v>
      </c>
    </row>
    <row r="122" spans="1:32" x14ac:dyDescent="0.35">
      <c r="A122" t="s">
        <v>36</v>
      </c>
      <c r="B122">
        <v>2006</v>
      </c>
      <c r="C122" s="7">
        <v>2006.0833333333333</v>
      </c>
      <c r="D122" s="1">
        <v>0.99549579621707907</v>
      </c>
      <c r="E122" s="7">
        <v>2006.0833333333333</v>
      </c>
      <c r="F122" s="1">
        <v>0.94536371620596404</v>
      </c>
      <c r="G122" s="7">
        <v>2006.0833333333333</v>
      </c>
      <c r="H122" s="1">
        <v>1.0459039454378309</v>
      </c>
      <c r="I122" s="7">
        <v>2006.0833333333333</v>
      </c>
      <c r="J122" s="1">
        <v>1.0255287197572012</v>
      </c>
      <c r="L122" s="1">
        <f t="shared" si="13"/>
        <v>1.0030730444045188</v>
      </c>
      <c r="M122" s="1"/>
      <c r="N122" s="1"/>
      <c r="Q122" s="7">
        <f t="shared" si="15"/>
        <v>-0.49754457958612786</v>
      </c>
      <c r="R122" s="7">
        <f t="shared" si="16"/>
        <v>-1.5864615599646135</v>
      </c>
      <c r="S122" s="7">
        <f t="shared" si="20"/>
        <v>0.39172972467337497</v>
      </c>
      <c r="T122" s="7">
        <f t="shared" si="17"/>
        <v>2.9659837510063423E-2</v>
      </c>
      <c r="V122" s="7">
        <f t="shared" si="18"/>
        <v>-0.41565414434182574</v>
      </c>
      <c r="AF122" s="7">
        <f t="shared" si="19"/>
        <v>-0.5086589837558444</v>
      </c>
    </row>
    <row r="123" spans="1:32" x14ac:dyDescent="0.35">
      <c r="A123" t="s">
        <v>34</v>
      </c>
      <c r="B123">
        <v>2006</v>
      </c>
      <c r="C123" s="7">
        <v>2006</v>
      </c>
      <c r="D123" s="1">
        <v>1.0151731602308458</v>
      </c>
      <c r="E123" s="7">
        <v>2006</v>
      </c>
      <c r="F123" s="1">
        <v>0.9909544646991113</v>
      </c>
      <c r="G123" s="7">
        <v>2006</v>
      </c>
      <c r="H123" s="1">
        <v>1.0720357796944671</v>
      </c>
      <c r="I123" s="7">
        <v>2006</v>
      </c>
      <c r="J123" s="1">
        <v>1.0750305977286443</v>
      </c>
      <c r="L123" s="1">
        <f t="shared" si="13"/>
        <v>1.038298500588267</v>
      </c>
      <c r="M123" s="1"/>
      <c r="N123" s="1"/>
      <c r="Q123" s="7">
        <f t="shared" si="15"/>
        <v>0.16298658213348197</v>
      </c>
      <c r="R123" s="7">
        <f t="shared" si="16"/>
        <v>-0.18226932562436129</v>
      </c>
      <c r="S123" s="7">
        <f t="shared" si="20"/>
        <v>1.1234297046820318</v>
      </c>
      <c r="T123" s="7">
        <f t="shared" si="17"/>
        <v>1.5766146148527749</v>
      </c>
      <c r="V123" s="7">
        <f t="shared" si="18"/>
        <v>0.6701903940109819</v>
      </c>
      <c r="AF123" s="7">
        <f t="shared" si="19"/>
        <v>0.67369546974421535</v>
      </c>
    </row>
    <row r="124" spans="1:32" x14ac:dyDescent="0.35">
      <c r="A124" t="s">
        <v>33</v>
      </c>
      <c r="B124">
        <v>2005</v>
      </c>
      <c r="C124" s="7">
        <v>2005.9166666666665</v>
      </c>
      <c r="D124" s="1">
        <v>1.0245157157889007</v>
      </c>
      <c r="E124" s="7">
        <v>2005.9166666666665</v>
      </c>
      <c r="F124" s="1">
        <v>1.0046000792224974</v>
      </c>
      <c r="G124" s="7">
        <v>2005.9166666666665</v>
      </c>
      <c r="H124" s="1">
        <v>1.0808803493229757</v>
      </c>
      <c r="I124" s="7">
        <v>2005.9166666666665</v>
      </c>
      <c r="J124" s="1">
        <v>1.0854105807442858</v>
      </c>
      <c r="L124" s="1">
        <f t="shared" si="13"/>
        <v>1.0488516812696649</v>
      </c>
      <c r="M124" s="1"/>
      <c r="N124" s="1"/>
      <c r="Q124" s="7">
        <f t="shared" si="15"/>
        <v>0.47659815489671192</v>
      </c>
      <c r="R124" s="7">
        <f t="shared" si="16"/>
        <v>0.23801475787603135</v>
      </c>
      <c r="S124" s="7">
        <f t="shared" si="20"/>
        <v>1.3710805720803478</v>
      </c>
      <c r="T124" s="7">
        <f t="shared" si="17"/>
        <v>1.9009935065797925</v>
      </c>
      <c r="V124" s="7">
        <f t="shared" si="18"/>
        <v>0.99667174785822088</v>
      </c>
      <c r="AF124" s="7">
        <f t="shared" si="19"/>
        <v>1.0279165793915708</v>
      </c>
    </row>
    <row r="125" spans="1:32" x14ac:dyDescent="0.35">
      <c r="A125" t="s">
        <v>35</v>
      </c>
      <c r="B125">
        <v>2005</v>
      </c>
      <c r="C125" s="7">
        <v>2005.8333333333333</v>
      </c>
      <c r="D125" s="1">
        <v>1.0222866821824865</v>
      </c>
      <c r="E125" s="7">
        <v>2005.8333333333333</v>
      </c>
      <c r="F125" s="1">
        <v>0.99977889480831228</v>
      </c>
      <c r="G125" s="7">
        <v>2005.8333333333333</v>
      </c>
      <c r="H125" s="1">
        <v>1.073936750680949</v>
      </c>
      <c r="I125" s="7">
        <v>2005.8333333333333</v>
      </c>
      <c r="J125" s="1">
        <v>1.0740407579423339</v>
      </c>
      <c r="L125" s="1">
        <f t="shared" si="13"/>
        <v>1.0425107714035204</v>
      </c>
      <c r="M125" s="1"/>
      <c r="N125" s="1"/>
      <c r="Q125" s="7">
        <f t="shared" si="15"/>
        <v>0.4017737954689608</v>
      </c>
      <c r="R125" s="7">
        <f t="shared" si="16"/>
        <v>8.9522576052375458E-2</v>
      </c>
      <c r="S125" s="7">
        <f t="shared" si="20"/>
        <v>1.176657519428814</v>
      </c>
      <c r="T125" s="7">
        <f t="shared" si="17"/>
        <v>1.5456816998001359</v>
      </c>
      <c r="V125" s="7">
        <f t="shared" si="18"/>
        <v>0.80340889768757151</v>
      </c>
      <c r="AF125" s="7">
        <f t="shared" si="19"/>
        <v>0.81508177661796466</v>
      </c>
    </row>
    <row r="126" spans="1:32" x14ac:dyDescent="0.35">
      <c r="A126" t="s">
        <v>37</v>
      </c>
      <c r="B126">
        <v>2005</v>
      </c>
      <c r="C126" s="7">
        <v>2005.75</v>
      </c>
      <c r="D126" s="1">
        <v>1.0122912988337387</v>
      </c>
      <c r="E126" s="7">
        <v>2005.75</v>
      </c>
      <c r="F126" s="1">
        <v>0.99938661410293006</v>
      </c>
      <c r="G126" s="7">
        <v>2005.75</v>
      </c>
      <c r="H126" s="1">
        <v>1.0565479246763954</v>
      </c>
      <c r="I126" s="7">
        <v>2005.75</v>
      </c>
      <c r="J126" s="1">
        <v>1.0463217366074271</v>
      </c>
      <c r="L126" s="1">
        <f t="shared" si="13"/>
        <v>1.0286368935551229</v>
      </c>
      <c r="M126" s="1"/>
      <c r="N126" s="1"/>
      <c r="Q126" s="7">
        <f t="shared" si="15"/>
        <v>6.6248052764696433E-2</v>
      </c>
      <c r="R126" s="7">
        <f t="shared" si="16"/>
        <v>7.7440354584526E-2</v>
      </c>
      <c r="S126" s="7">
        <f t="shared" si="20"/>
        <v>0.68976465477371218</v>
      </c>
      <c r="T126" s="7">
        <f t="shared" si="17"/>
        <v>0.6794504731376757</v>
      </c>
      <c r="V126" s="7">
        <f t="shared" si="18"/>
        <v>0.37822588381515254</v>
      </c>
      <c r="AF126" s="7">
        <f t="shared" si="19"/>
        <v>0.34940033374890545</v>
      </c>
    </row>
    <row r="127" spans="1:32" x14ac:dyDescent="0.35">
      <c r="A127" t="s">
        <v>39</v>
      </c>
      <c r="B127">
        <v>2005</v>
      </c>
      <c r="C127" s="7">
        <v>2005.6666666666665</v>
      </c>
      <c r="D127" s="1">
        <v>0.99961575126023339</v>
      </c>
      <c r="E127" s="7">
        <v>2005.6666666666665</v>
      </c>
      <c r="F127" s="1">
        <v>0.98013415932038372</v>
      </c>
      <c r="G127" s="7">
        <v>2005.6666666666665</v>
      </c>
      <c r="H127" s="1">
        <v>1.0397455616119984</v>
      </c>
      <c r="I127" s="7">
        <v>2005.6666666666665</v>
      </c>
      <c r="J127" s="1">
        <v>1.0261974149880453</v>
      </c>
      <c r="L127" s="1">
        <f t="shared" si="13"/>
        <v>1.0114232217951653</v>
      </c>
      <c r="M127" s="1"/>
      <c r="N127" s="1"/>
      <c r="Q127" s="7">
        <f t="shared" si="15"/>
        <v>-0.35924563420994005</v>
      </c>
      <c r="R127" s="7">
        <f t="shared" si="16"/>
        <v>-0.51553406218123321</v>
      </c>
      <c r="S127" s="7">
        <f t="shared" si="20"/>
        <v>0.21929294591556511</v>
      </c>
      <c r="T127" s="7">
        <f t="shared" si="17"/>
        <v>5.0556848377759186E-2</v>
      </c>
      <c r="V127" s="7">
        <f t="shared" si="18"/>
        <v>-0.15123247552446223</v>
      </c>
      <c r="AF127" s="7">
        <f t="shared" si="19"/>
        <v>-0.22838243108762452</v>
      </c>
    </row>
    <row r="128" spans="1:32" x14ac:dyDescent="0.35">
      <c r="A128" t="s">
        <v>41</v>
      </c>
      <c r="B128">
        <v>2005</v>
      </c>
      <c r="C128" s="7">
        <v>2005.5833333333333</v>
      </c>
      <c r="D128" s="1">
        <v>0.98448654947253733</v>
      </c>
      <c r="E128" s="7">
        <v>2005.5833333333333</v>
      </c>
      <c r="F128" s="1">
        <v>0.95259988317963662</v>
      </c>
      <c r="G128" s="7">
        <v>2005.5833333333333</v>
      </c>
      <c r="H128" s="1">
        <v>1.025072875495461</v>
      </c>
      <c r="I128" s="7">
        <v>2005.5833333333333</v>
      </c>
      <c r="J128" s="1">
        <v>1.016570417364711</v>
      </c>
      <c r="L128" s="1">
        <f t="shared" si="13"/>
        <v>0.99468243137808654</v>
      </c>
      <c r="M128" s="1"/>
      <c r="N128" s="1"/>
      <c r="Q128" s="7">
        <f t="shared" si="15"/>
        <v>-0.86710376122968325</v>
      </c>
      <c r="R128" s="7">
        <f t="shared" si="16"/>
        <v>-1.3635880646468577</v>
      </c>
      <c r="S128" s="7">
        <f t="shared" si="20"/>
        <v>-0.19154710582773402</v>
      </c>
      <c r="T128" s="7">
        <f t="shared" si="17"/>
        <v>-0.25029092902323552</v>
      </c>
      <c r="V128" s="7">
        <f t="shared" si="18"/>
        <v>-0.66813246518187752</v>
      </c>
      <c r="AF128" s="7">
        <f t="shared" si="19"/>
        <v>-0.79029277233329076</v>
      </c>
    </row>
    <row r="129" spans="1:32" x14ac:dyDescent="0.35">
      <c r="A129" t="s">
        <v>43</v>
      </c>
      <c r="B129">
        <v>2005</v>
      </c>
      <c r="C129" s="7">
        <v>2005.5</v>
      </c>
      <c r="D129" s="1">
        <v>0.97118969813428146</v>
      </c>
      <c r="E129" s="7">
        <v>2005.5</v>
      </c>
      <c r="F129" s="1">
        <v>0.94153773574420629</v>
      </c>
      <c r="G129" s="7">
        <v>2005.5</v>
      </c>
      <c r="H129" s="1">
        <v>1.0061780471883364</v>
      </c>
      <c r="I129" s="7">
        <v>2005.5</v>
      </c>
      <c r="J129" s="1">
        <v>1.0106824065279389</v>
      </c>
      <c r="L129" s="1">
        <f t="shared" si="13"/>
        <v>0.9823969718986908</v>
      </c>
      <c r="M129" s="1"/>
      <c r="N129" s="1"/>
      <c r="Q129" s="7">
        <f t="shared" si="15"/>
        <v>-1.3134534173892336</v>
      </c>
      <c r="R129" s="7">
        <f t="shared" si="16"/>
        <v>-1.704301521595103</v>
      </c>
      <c r="S129" s="7">
        <f t="shared" si="20"/>
        <v>-0.72060853178099193</v>
      </c>
      <c r="T129" s="7">
        <f t="shared" si="17"/>
        <v>-0.4342937763140941</v>
      </c>
      <c r="V129" s="7">
        <f t="shared" si="18"/>
        <v>-1.0431643117698557</v>
      </c>
      <c r="AF129" s="7">
        <f t="shared" si="19"/>
        <v>-1.2026584107791536</v>
      </c>
    </row>
    <row r="130" spans="1:32" x14ac:dyDescent="0.35">
      <c r="A130" t="s">
        <v>44</v>
      </c>
      <c r="B130">
        <v>2005</v>
      </c>
      <c r="C130" s="7">
        <v>2005.4166666666665</v>
      </c>
      <c r="D130" s="1">
        <v>0.96594524199278342</v>
      </c>
      <c r="E130" s="7">
        <v>2005.4166666666665</v>
      </c>
      <c r="F130" s="1">
        <v>0.9315928879180273</v>
      </c>
      <c r="G130" s="7">
        <v>2005.4166666666665</v>
      </c>
      <c r="H130" s="1">
        <v>1.000973171143118</v>
      </c>
      <c r="I130" s="7">
        <v>2005.4166666666665</v>
      </c>
      <c r="J130" s="1">
        <v>1.0090130166928837</v>
      </c>
      <c r="L130" s="1">
        <f t="shared" si="13"/>
        <v>0.9768810794367031</v>
      </c>
      <c r="M130" s="1"/>
      <c r="N130" s="1"/>
      <c r="Q130" s="7">
        <f t="shared" si="15"/>
        <v>-1.4894996960121052</v>
      </c>
      <c r="R130" s="7">
        <f t="shared" si="16"/>
        <v>-2.0106022196701758</v>
      </c>
      <c r="S130" s="7">
        <f t="shared" si="20"/>
        <v>-0.86634677812191496</v>
      </c>
      <c r="T130" s="7">
        <f t="shared" si="17"/>
        <v>-0.4864629199186235</v>
      </c>
      <c r="V130" s="7">
        <f t="shared" si="18"/>
        <v>-1.213227903430705</v>
      </c>
      <c r="AF130" s="7">
        <f t="shared" si="19"/>
        <v>-1.3878012229386019</v>
      </c>
    </row>
    <row r="131" spans="1:32" x14ac:dyDescent="0.35">
      <c r="A131" t="s">
        <v>42</v>
      </c>
      <c r="B131">
        <v>2005</v>
      </c>
      <c r="C131" s="7">
        <v>2005.3333333333333</v>
      </c>
      <c r="D131" s="1">
        <v>0.96477618698984491</v>
      </c>
      <c r="E131" s="7">
        <v>2005.3333333333333</v>
      </c>
      <c r="F131" s="1">
        <v>0.92851276463717203</v>
      </c>
      <c r="G131" s="7">
        <v>2005.3333333333333</v>
      </c>
      <c r="H131" s="1">
        <v>0.99473342189948111</v>
      </c>
      <c r="I131" s="7">
        <v>2005.3333333333333</v>
      </c>
      <c r="J131" s="1">
        <v>1.0076903748974557</v>
      </c>
      <c r="L131" s="1">
        <f t="shared" si="13"/>
        <v>0.97392818710598839</v>
      </c>
      <c r="M131" s="1"/>
      <c r="N131" s="1"/>
      <c r="Q131" s="7">
        <f t="shared" si="15"/>
        <v>-1.5287426179128665</v>
      </c>
      <c r="R131" s="7">
        <f t="shared" si="16"/>
        <v>-2.1054698262513156</v>
      </c>
      <c r="S131" s="7">
        <f t="shared" si="20"/>
        <v>-1.0410618154204823</v>
      </c>
      <c r="T131" s="7">
        <f t="shared" si="17"/>
        <v>-0.5277960395495751</v>
      </c>
      <c r="V131" s="7">
        <f t="shared" si="18"/>
        <v>-1.3007675747835599</v>
      </c>
      <c r="AF131" s="7">
        <f t="shared" si="19"/>
        <v>-1.4869160613587076</v>
      </c>
    </row>
    <row r="132" spans="1:32" x14ac:dyDescent="0.35">
      <c r="A132" t="s">
        <v>40</v>
      </c>
      <c r="B132">
        <v>2005</v>
      </c>
      <c r="C132" s="7">
        <v>2005.25</v>
      </c>
      <c r="D132" s="1">
        <v>0.96157379656487307</v>
      </c>
      <c r="E132" s="7">
        <v>2005.25</v>
      </c>
      <c r="F132" s="1">
        <v>0.92700267763959765</v>
      </c>
      <c r="G132" s="7">
        <v>2005.25</v>
      </c>
      <c r="H132" s="1">
        <v>0.9892476455372563</v>
      </c>
      <c r="I132" s="7">
        <v>2005.25</v>
      </c>
      <c r="J132" s="1">
        <v>1.005437474325523</v>
      </c>
      <c r="L132" s="1">
        <f t="shared" si="13"/>
        <v>0.97081539851681253</v>
      </c>
      <c r="M132" s="1"/>
      <c r="N132" s="1"/>
      <c r="Q132" s="7">
        <f t="shared" si="15"/>
        <v>-1.6362406885999008</v>
      </c>
      <c r="R132" s="7">
        <f t="shared" si="16"/>
        <v>-2.1519804123955826</v>
      </c>
      <c r="S132" s="7">
        <f t="shared" si="20"/>
        <v>-1.1946653633058557</v>
      </c>
      <c r="T132" s="7">
        <f t="shared" si="17"/>
        <v>-0.59820014229169682</v>
      </c>
      <c r="V132" s="7">
        <f t="shared" si="18"/>
        <v>-1.3952716516482591</v>
      </c>
      <c r="AF132" s="7">
        <f t="shared" si="19"/>
        <v>-1.5913978722405282</v>
      </c>
    </row>
    <row r="133" spans="1:32" x14ac:dyDescent="0.35">
      <c r="A133" t="s">
        <v>38</v>
      </c>
      <c r="B133">
        <v>2005</v>
      </c>
      <c r="C133" s="7">
        <v>2005.1666666666665</v>
      </c>
      <c r="D133" s="1">
        <v>0.96695315690303252</v>
      </c>
      <c r="E133" s="7">
        <v>2005.1666666666665</v>
      </c>
      <c r="F133" s="1">
        <v>0.93085791376887062</v>
      </c>
      <c r="G133" s="7">
        <v>2005.1666666666665</v>
      </c>
      <c r="H133" s="1">
        <v>0.99621220377072461</v>
      </c>
      <c r="I133" s="7">
        <v>2005.1666666666665</v>
      </c>
      <c r="J133" s="1">
        <v>1.0093985949678843</v>
      </c>
      <c r="L133" s="1">
        <f t="shared" ref="L133:L196" si="21">AVERAGE(D133,F133,H133,J133)</f>
        <v>0.97585546735262796</v>
      </c>
      <c r="M133" s="1"/>
      <c r="N133" s="1"/>
      <c r="Q133" s="7">
        <f t="shared" ref="Q133:Q196" si="22">STANDARDIZE(D133, AVERAGE($D$5:$D$411), _xlfn.STDEV.P($L$5:$L$1820))</f>
        <v>-1.45566593626077</v>
      </c>
      <c r="R133" s="7">
        <f t="shared" ref="R133:R196" si="23">STANDARDIZE(F133, AVERAGE($F$4:$F$747), _xlfn.STDEV.P($F$4:$F$747))</f>
        <v>-2.0332393780147417</v>
      </c>
      <c r="S133" s="7">
        <f t="shared" si="20"/>
        <v>-0.999655435179445</v>
      </c>
      <c r="T133" s="7">
        <f t="shared" ref="T133:T196" si="24">STANDARDIZE(J133,AVERAGE($J$4:$J$795),_xlfn.STDEV.P($J$4:$J$795))</f>
        <v>-0.47441343454564672</v>
      </c>
      <c r="V133" s="7">
        <f t="shared" ref="V133:V196" si="25">AVERAGE(Q133,R133,S133,T133)</f>
        <v>-1.2407435460001508</v>
      </c>
      <c r="AF133" s="7">
        <f t="shared" ref="AF133:AF196" si="26">STANDARDIZE(L133,L$1,L$2)</f>
        <v>-1.422226242414409</v>
      </c>
    </row>
    <row r="134" spans="1:32" x14ac:dyDescent="0.35">
      <c r="A134" t="s">
        <v>36</v>
      </c>
      <c r="B134">
        <v>2005</v>
      </c>
      <c r="C134" s="7">
        <v>2005.0833333333333</v>
      </c>
      <c r="D134" s="1">
        <v>1.0149610713478154</v>
      </c>
      <c r="E134" s="7">
        <v>2005.0833333333333</v>
      </c>
      <c r="F134" s="1">
        <v>0.95460704782971528</v>
      </c>
      <c r="G134" s="7">
        <v>2005.0833333333333</v>
      </c>
      <c r="H134" s="1">
        <v>1.0129394768642348</v>
      </c>
      <c r="I134" s="7">
        <v>2005.0833333333333</v>
      </c>
      <c r="J134" s="1">
        <v>1.0328188328740693</v>
      </c>
      <c r="L134" s="1">
        <f t="shared" si="21"/>
        <v>1.0038316072289586</v>
      </c>
      <c r="M134" s="1"/>
      <c r="N134" s="1"/>
      <c r="Q134" s="7">
        <f t="shared" si="22"/>
        <v>0.15586716734815534</v>
      </c>
      <c r="R134" s="7">
        <f t="shared" si="23"/>
        <v>-1.3017675175438339</v>
      </c>
      <c r="S134" s="7">
        <f t="shared" si="20"/>
        <v>-0.53128627027811026</v>
      </c>
      <c r="T134" s="7">
        <f t="shared" si="24"/>
        <v>0.25747897843262996</v>
      </c>
      <c r="V134" s="7">
        <f t="shared" si="25"/>
        <v>-0.35492691051028974</v>
      </c>
      <c r="AF134" s="7">
        <f t="shared" si="26"/>
        <v>-0.48319756377997691</v>
      </c>
    </row>
    <row r="135" spans="1:32" x14ac:dyDescent="0.35">
      <c r="A135" t="s">
        <v>34</v>
      </c>
      <c r="B135">
        <v>2005</v>
      </c>
      <c r="C135" s="7">
        <v>2005</v>
      </c>
      <c r="D135" s="1">
        <v>1.056523313812493</v>
      </c>
      <c r="E135" s="7">
        <v>2005</v>
      </c>
      <c r="F135" s="1">
        <v>0.98766525245322112</v>
      </c>
      <c r="G135" s="7">
        <v>2005</v>
      </c>
      <c r="H135" s="1">
        <v>1.0359074102397221</v>
      </c>
      <c r="I135" s="7">
        <v>2005</v>
      </c>
      <c r="J135" s="1">
        <v>1.0539721237402135</v>
      </c>
      <c r="L135" s="1">
        <f t="shared" si="21"/>
        <v>1.0335170250614123</v>
      </c>
      <c r="M135" s="1"/>
      <c r="N135" s="1"/>
      <c r="Q135" s="7">
        <f t="shared" si="22"/>
        <v>1.5510314932029139</v>
      </c>
      <c r="R135" s="7">
        <f t="shared" si="23"/>
        <v>-0.28357685939889649</v>
      </c>
      <c r="S135" s="7">
        <f t="shared" si="20"/>
        <v>0.1118234412958666</v>
      </c>
      <c r="T135" s="7">
        <f t="shared" si="24"/>
        <v>0.91852833055578198</v>
      </c>
      <c r="V135" s="7">
        <f t="shared" si="25"/>
        <v>0.57445160141391649</v>
      </c>
      <c r="AF135" s="7">
        <f t="shared" si="26"/>
        <v>0.51320361254900626</v>
      </c>
    </row>
    <row r="136" spans="1:32" x14ac:dyDescent="0.35">
      <c r="A136" t="s">
        <v>33</v>
      </c>
      <c r="B136">
        <v>2004</v>
      </c>
      <c r="C136" s="7">
        <v>2004.9166666666665</v>
      </c>
      <c r="D136" s="1">
        <v>1.0641197274294369</v>
      </c>
      <c r="E136" s="7">
        <v>2004.9166666666665</v>
      </c>
      <c r="F136" s="1">
        <v>0.99535068440619956</v>
      </c>
      <c r="G136" s="7">
        <v>2004.9166666666665</v>
      </c>
      <c r="H136" s="1">
        <v>1.0481354882574097</v>
      </c>
      <c r="I136" s="7">
        <v>2004.9166666666665</v>
      </c>
      <c r="J136" s="1">
        <v>1.0585515380205535</v>
      </c>
      <c r="L136" s="1">
        <f t="shared" si="21"/>
        <v>1.0415393595283997</v>
      </c>
      <c r="M136" s="1"/>
      <c r="N136" s="1"/>
      <c r="Q136" s="7">
        <f t="shared" si="22"/>
        <v>1.8060284484755906</v>
      </c>
      <c r="R136" s="7">
        <f t="shared" si="23"/>
        <v>-4.6866030500246562E-2</v>
      </c>
      <c r="S136" s="7">
        <f t="shared" si="20"/>
        <v>0.4542136598016393</v>
      </c>
      <c r="T136" s="7">
        <f t="shared" si="24"/>
        <v>1.0616369779184136</v>
      </c>
      <c r="V136" s="7">
        <f t="shared" si="25"/>
        <v>0.81875326392384928</v>
      </c>
      <c r="AF136" s="7">
        <f t="shared" si="26"/>
        <v>0.78247600564538766</v>
      </c>
    </row>
    <row r="137" spans="1:32" x14ac:dyDescent="0.35">
      <c r="A137" t="s">
        <v>35</v>
      </c>
      <c r="B137">
        <v>2004</v>
      </c>
      <c r="C137" s="7">
        <v>2004.8333333333333</v>
      </c>
      <c r="D137" s="1">
        <v>1.058439993212323</v>
      </c>
      <c r="E137" s="7">
        <v>2004.8333333333333</v>
      </c>
      <c r="F137" s="1">
        <v>0.99802172964900149</v>
      </c>
      <c r="G137" s="7">
        <v>2004.8333333333333</v>
      </c>
      <c r="H137" s="1">
        <v>1.0551118775655446</v>
      </c>
      <c r="I137" s="7">
        <v>2004.8333333333333</v>
      </c>
      <c r="J137" s="1">
        <v>1.0596022502497324</v>
      </c>
      <c r="L137" s="1">
        <f t="shared" si="21"/>
        <v>1.0427939626691503</v>
      </c>
      <c r="M137" s="1"/>
      <c r="N137" s="1"/>
      <c r="Q137" s="7">
        <f t="shared" si="22"/>
        <v>1.6153707242974851</v>
      </c>
      <c r="R137" s="7">
        <f t="shared" si="23"/>
        <v>3.5401997805489686E-2</v>
      </c>
      <c r="S137" s="7">
        <f t="shared" si="20"/>
        <v>0.64955486192175571</v>
      </c>
      <c r="T137" s="7">
        <f t="shared" si="24"/>
        <v>1.0944721827459654</v>
      </c>
      <c r="V137" s="7">
        <f t="shared" si="25"/>
        <v>0.84869994169267393</v>
      </c>
      <c r="AF137" s="7">
        <f t="shared" si="26"/>
        <v>0.82458718805573639</v>
      </c>
    </row>
    <row r="138" spans="1:32" x14ac:dyDescent="0.35">
      <c r="A138" t="s">
        <v>37</v>
      </c>
      <c r="B138">
        <v>2004</v>
      </c>
      <c r="C138" s="7">
        <v>2004.75</v>
      </c>
      <c r="D138" s="1">
        <v>1.049423655701192</v>
      </c>
      <c r="E138" s="7">
        <v>2004.75</v>
      </c>
      <c r="F138" s="1">
        <v>1.0018683930999712</v>
      </c>
      <c r="G138" s="7">
        <v>2004.75</v>
      </c>
      <c r="H138" s="1">
        <v>1.0503643191703136</v>
      </c>
      <c r="I138" s="7">
        <v>2004.75</v>
      </c>
      <c r="J138" s="1">
        <v>1.0533353312511695</v>
      </c>
      <c r="L138" s="1">
        <f t="shared" si="21"/>
        <v>1.0387479248056615</v>
      </c>
      <c r="M138" s="1"/>
      <c r="N138" s="1"/>
      <c r="Q138" s="7">
        <f t="shared" si="22"/>
        <v>1.312709662250924</v>
      </c>
      <c r="R138" s="7">
        <f t="shared" si="23"/>
        <v>0.15387899422470988</v>
      </c>
      <c r="S138" s="7">
        <f t="shared" si="20"/>
        <v>0.5166216606483589</v>
      </c>
      <c r="T138" s="7">
        <f t="shared" si="24"/>
        <v>0.89862829396179877</v>
      </c>
      <c r="V138" s="7">
        <f t="shared" si="25"/>
        <v>0.72045965277144786</v>
      </c>
      <c r="AF138" s="7">
        <f t="shared" si="26"/>
        <v>0.68878054691611257</v>
      </c>
    </row>
    <row r="139" spans="1:32" x14ac:dyDescent="0.35">
      <c r="A139" t="s">
        <v>39</v>
      </c>
      <c r="B139">
        <v>2004</v>
      </c>
      <c r="C139" s="7">
        <v>2004.6666666666665</v>
      </c>
      <c r="D139" s="1">
        <v>1.0376300216556422</v>
      </c>
      <c r="E139" s="7">
        <v>2004.6666666666665</v>
      </c>
      <c r="F139" s="1">
        <v>0.99628385057854885</v>
      </c>
      <c r="G139" s="7">
        <v>2004.6666666666665</v>
      </c>
      <c r="H139" s="1">
        <v>1.0388178424810657</v>
      </c>
      <c r="I139" s="7">
        <v>2004.6666666666665</v>
      </c>
      <c r="J139" s="1">
        <v>1.0374986985251231</v>
      </c>
      <c r="L139" s="1">
        <f t="shared" si="21"/>
        <v>1.027557603310095</v>
      </c>
      <c r="M139" s="1"/>
      <c r="N139" s="1"/>
      <c r="Q139" s="7">
        <f t="shared" si="22"/>
        <v>0.91682011162042121</v>
      </c>
      <c r="R139" s="7">
        <f t="shared" si="23"/>
        <v>-1.8124570097181592E-2</v>
      </c>
      <c r="S139" s="7">
        <f t="shared" si="20"/>
        <v>0.19331650419736754</v>
      </c>
      <c r="T139" s="7">
        <f t="shared" si="24"/>
        <v>0.40372677392831113</v>
      </c>
      <c r="V139" s="7">
        <f t="shared" si="25"/>
        <v>0.37393470491222958</v>
      </c>
      <c r="AF139" s="7">
        <f t="shared" si="26"/>
        <v>0.31317358848913529</v>
      </c>
    </row>
    <row r="140" spans="1:32" x14ac:dyDescent="0.35">
      <c r="A140" t="s">
        <v>41</v>
      </c>
      <c r="B140">
        <v>2004</v>
      </c>
      <c r="C140" s="7">
        <v>2004.5833333333333</v>
      </c>
      <c r="D140" s="1">
        <v>1.0216353631634627</v>
      </c>
      <c r="E140" s="7">
        <v>2004.5833333333333</v>
      </c>
      <c r="F140" s="1">
        <v>0.98020027410051036</v>
      </c>
      <c r="G140" s="7">
        <v>2004.5833333333333</v>
      </c>
      <c r="H140" s="1">
        <v>1.0329521081767872</v>
      </c>
      <c r="I140" s="7">
        <v>2004.5833333333333</v>
      </c>
      <c r="J140" s="1">
        <v>1.0076800753827184</v>
      </c>
      <c r="L140" s="1">
        <f t="shared" si="21"/>
        <v>1.0106169552058697</v>
      </c>
      <c r="M140" s="1"/>
      <c r="N140" s="1"/>
      <c r="Q140" s="7">
        <f t="shared" si="22"/>
        <v>0.37991027208316114</v>
      </c>
      <c r="R140" s="7">
        <f t="shared" si="23"/>
        <v>-0.51349773104175023</v>
      </c>
      <c r="S140" s="7">
        <f t="shared" si="20"/>
        <v>2.9074008587372586E-2</v>
      </c>
      <c r="T140" s="7">
        <f t="shared" si="24"/>
        <v>-0.52811790377331957</v>
      </c>
      <c r="V140" s="7">
        <f t="shared" si="25"/>
        <v>-0.15815783853613402</v>
      </c>
      <c r="AF140" s="7">
        <f t="shared" si="26"/>
        <v>-0.25544504420437919</v>
      </c>
    </row>
    <row r="141" spans="1:32" x14ac:dyDescent="0.35">
      <c r="A141" t="s">
        <v>43</v>
      </c>
      <c r="B141">
        <v>2004</v>
      </c>
      <c r="C141" s="7">
        <v>2004.5</v>
      </c>
      <c r="D141" s="1">
        <v>1.0061076726931273</v>
      </c>
      <c r="E141" s="7">
        <v>2004.5</v>
      </c>
      <c r="F141" s="1">
        <v>0.95771340673390226</v>
      </c>
      <c r="G141" s="7">
        <v>2004.5</v>
      </c>
      <c r="H141" s="1">
        <v>1.0173937020165109</v>
      </c>
      <c r="I141" s="7">
        <v>2004.5</v>
      </c>
      <c r="J141" s="1">
        <v>0.99077040986679477</v>
      </c>
      <c r="L141" s="1">
        <f t="shared" si="21"/>
        <v>0.99299629782758381</v>
      </c>
      <c r="M141" s="1"/>
      <c r="N141" s="1"/>
      <c r="Q141" s="7">
        <f t="shared" si="22"/>
        <v>-0.14132435151873329</v>
      </c>
      <c r="R141" s="7">
        <f t="shared" si="23"/>
        <v>-1.2060918553864404</v>
      </c>
      <c r="S141" s="7">
        <f t="shared" si="20"/>
        <v>-0.40656649657730953</v>
      </c>
      <c r="T141" s="7">
        <f t="shared" si="24"/>
        <v>-1.0565521556660629</v>
      </c>
      <c r="V141" s="7">
        <f t="shared" si="25"/>
        <v>-0.70263371478713643</v>
      </c>
      <c r="AF141" s="7">
        <f t="shared" si="26"/>
        <v>-0.84688842015779098</v>
      </c>
    </row>
    <row r="142" spans="1:32" x14ac:dyDescent="0.35">
      <c r="A142" t="s">
        <v>44</v>
      </c>
      <c r="B142">
        <v>2004</v>
      </c>
      <c r="C142" s="7">
        <v>2004.4166666666665</v>
      </c>
      <c r="D142" s="1">
        <v>0.98953603338391782</v>
      </c>
      <c r="E142" s="7">
        <v>2004.4166666666665</v>
      </c>
      <c r="F142" s="1">
        <v>0.94113655260497631</v>
      </c>
      <c r="G142" s="7">
        <v>2004.4166666666665</v>
      </c>
      <c r="H142" s="1">
        <v>1.0056042152079741</v>
      </c>
      <c r="I142" s="7">
        <v>2004.4166666666665</v>
      </c>
      <c r="J142" s="1">
        <v>0.98480363044747854</v>
      </c>
      <c r="L142" s="1">
        <f t="shared" si="21"/>
        <v>0.98027010791108671</v>
      </c>
      <c r="M142" s="1"/>
      <c r="N142" s="1"/>
      <c r="Q142" s="7">
        <f t="shared" si="22"/>
        <v>-0.69760232436369074</v>
      </c>
      <c r="R142" s="7">
        <f t="shared" si="23"/>
        <v>-1.7166579374749533</v>
      </c>
      <c r="S142" s="7">
        <f t="shared" si="20"/>
        <v>-0.73667601653678583</v>
      </c>
      <c r="T142" s="7">
        <f t="shared" si="24"/>
        <v>-1.2430165547215137</v>
      </c>
      <c r="V142" s="7">
        <f t="shared" si="25"/>
        <v>-1.098488208274236</v>
      </c>
      <c r="AF142" s="7">
        <f t="shared" si="26"/>
        <v>-1.2740473260742462</v>
      </c>
    </row>
    <row r="143" spans="1:32" x14ac:dyDescent="0.35">
      <c r="A143" t="s">
        <v>42</v>
      </c>
      <c r="B143">
        <v>2004</v>
      </c>
      <c r="C143" s="7">
        <v>2004.3333333333333</v>
      </c>
      <c r="D143" s="1">
        <v>0.9719338573787667</v>
      </c>
      <c r="E143" s="7">
        <v>2004.3333333333333</v>
      </c>
      <c r="F143" s="1">
        <v>0.93640113627701294</v>
      </c>
      <c r="G143" s="7">
        <v>2004.3333333333333</v>
      </c>
      <c r="H143" s="1">
        <v>1.0034139201535952</v>
      </c>
      <c r="I143" s="7">
        <v>2004.3333333333333</v>
      </c>
      <c r="J143" s="1">
        <v>0.9861213727611271</v>
      </c>
      <c r="L143" s="1">
        <f t="shared" si="21"/>
        <v>0.97446757164262554</v>
      </c>
      <c r="M143" s="1"/>
      <c r="N143" s="1"/>
      <c r="Q143" s="7">
        <f t="shared" si="22"/>
        <v>-1.2884734266790794</v>
      </c>
      <c r="R143" s="7">
        <f t="shared" si="23"/>
        <v>-1.8625084675467216</v>
      </c>
      <c r="S143" s="7">
        <f t="shared" si="20"/>
        <v>-0.79800500063192548</v>
      </c>
      <c r="T143" s="7">
        <f t="shared" si="24"/>
        <v>-1.201836545983638</v>
      </c>
      <c r="V143" s="7">
        <f t="shared" si="25"/>
        <v>-1.2877058602103411</v>
      </c>
      <c r="AF143" s="7">
        <f t="shared" si="26"/>
        <v>-1.4688114353826716</v>
      </c>
    </row>
    <row r="144" spans="1:32" x14ac:dyDescent="0.35">
      <c r="A144" t="s">
        <v>40</v>
      </c>
      <c r="B144">
        <v>2004</v>
      </c>
      <c r="C144" s="7">
        <v>2004.25</v>
      </c>
      <c r="D144" s="1">
        <v>0.96142164595737389</v>
      </c>
      <c r="E144" s="7">
        <v>2004.25</v>
      </c>
      <c r="F144" s="1">
        <v>0.93006019473133916</v>
      </c>
      <c r="G144" s="7">
        <v>2004.25</v>
      </c>
      <c r="H144" s="1">
        <v>0.99897627112961118</v>
      </c>
      <c r="I144" s="7">
        <v>2004.25</v>
      </c>
      <c r="J144" s="1">
        <v>0.98940155242443983</v>
      </c>
      <c r="L144" s="1">
        <f t="shared" si="21"/>
        <v>0.96996491606069102</v>
      </c>
      <c r="M144" s="1"/>
      <c r="N144" s="1"/>
      <c r="Q144" s="7">
        <f t="shared" si="22"/>
        <v>-1.6413480910679075</v>
      </c>
      <c r="R144" s="7">
        <f t="shared" si="23"/>
        <v>-2.057809075041221</v>
      </c>
      <c r="S144" s="7">
        <f t="shared" ref="S144:S207" si="27">STANDARDIZE(H144, AVERAGE($H$4:$H$891), _xlfn.STDEV.P($H$4:$H$891))</f>
        <v>-0.92226063727212693</v>
      </c>
      <c r="T144" s="7">
        <f t="shared" si="24"/>
        <v>-1.0993295339540881</v>
      </c>
      <c r="V144" s="7">
        <f t="shared" si="25"/>
        <v>-1.430186834333836</v>
      </c>
      <c r="AF144" s="7">
        <f t="shared" si="26"/>
        <v>-1.619944606010945</v>
      </c>
    </row>
    <row r="145" spans="1:32" x14ac:dyDescent="0.35">
      <c r="A145" t="s">
        <v>38</v>
      </c>
      <c r="B145">
        <v>2004</v>
      </c>
      <c r="C145" s="7">
        <v>2004.1666666666665</v>
      </c>
      <c r="D145" s="1">
        <v>0.96304478920715331</v>
      </c>
      <c r="E145" s="7">
        <v>2004.1666666666665</v>
      </c>
      <c r="F145" s="1">
        <v>0.93685300648809033</v>
      </c>
      <c r="G145" s="7">
        <v>2004.1666666666665</v>
      </c>
      <c r="H145" s="1">
        <v>0.99912656687489187</v>
      </c>
      <c r="I145" s="7">
        <v>2004.1666666666665</v>
      </c>
      <c r="J145" s="1">
        <v>0.9898034469127599</v>
      </c>
      <c r="L145" s="1">
        <f t="shared" si="21"/>
        <v>0.97220695237072385</v>
      </c>
      <c r="M145" s="1"/>
      <c r="N145" s="1"/>
      <c r="Q145" s="7">
        <f t="shared" si="22"/>
        <v>-1.5868623024397128</v>
      </c>
      <c r="R145" s="7">
        <f t="shared" si="23"/>
        <v>-1.848590892988367</v>
      </c>
      <c r="S145" s="7">
        <f t="shared" si="27"/>
        <v>-0.9180523068220996</v>
      </c>
      <c r="T145" s="7">
        <f t="shared" si="24"/>
        <v>-1.0867701599632045</v>
      </c>
      <c r="V145" s="7">
        <f t="shared" si="25"/>
        <v>-1.3600689155533461</v>
      </c>
      <c r="AF145" s="7">
        <f t="shared" si="26"/>
        <v>-1.5446898924240366</v>
      </c>
    </row>
    <row r="146" spans="1:32" x14ac:dyDescent="0.35">
      <c r="A146" t="s">
        <v>36</v>
      </c>
      <c r="B146">
        <v>2004</v>
      </c>
      <c r="C146" s="7">
        <v>2004.0833333333333</v>
      </c>
      <c r="D146" s="1">
        <v>0.98362042440374453</v>
      </c>
      <c r="E146" s="7">
        <v>2004.0833333333333</v>
      </c>
      <c r="F146" s="1">
        <v>0.97089379427261047</v>
      </c>
      <c r="G146" s="7">
        <v>2004.0833333333333</v>
      </c>
      <c r="H146" s="1">
        <v>1.0072737878393287</v>
      </c>
      <c r="I146" s="7">
        <v>2004.0833333333333</v>
      </c>
      <c r="J146" s="1">
        <v>1.0194772970254042</v>
      </c>
      <c r="L146" s="1">
        <f t="shared" si="21"/>
        <v>0.99531632588527197</v>
      </c>
      <c r="M146" s="1"/>
      <c r="N146" s="1"/>
      <c r="Q146" s="7">
        <f t="shared" si="22"/>
        <v>-0.89617790944810971</v>
      </c>
      <c r="R146" s="7">
        <f t="shared" si="23"/>
        <v>-0.80013673424533871</v>
      </c>
      <c r="S146" s="7">
        <f t="shared" si="27"/>
        <v>-0.68992743207126928</v>
      </c>
      <c r="T146" s="7">
        <f t="shared" si="24"/>
        <v>-0.15944970112347934</v>
      </c>
      <c r="V146" s="7">
        <f t="shared" si="25"/>
        <v>-0.63642294422204926</v>
      </c>
      <c r="AF146" s="7">
        <f t="shared" si="26"/>
        <v>-0.76901588695499146</v>
      </c>
    </row>
    <row r="147" spans="1:32" x14ac:dyDescent="0.35">
      <c r="A147" t="s">
        <v>34</v>
      </c>
      <c r="B147">
        <v>2004</v>
      </c>
      <c r="C147" s="7">
        <v>2004</v>
      </c>
      <c r="D147" s="1">
        <v>1.035770168916307</v>
      </c>
      <c r="E147" s="7">
        <v>2004</v>
      </c>
      <c r="F147" s="1">
        <v>1.0084293095663979</v>
      </c>
      <c r="G147" s="7">
        <v>2004</v>
      </c>
      <c r="H147" s="1">
        <v>1.0482367106756134</v>
      </c>
      <c r="I147" s="7">
        <v>2004</v>
      </c>
      <c r="J147" s="1">
        <v>1.0650717587042515</v>
      </c>
      <c r="L147" s="1">
        <f t="shared" si="21"/>
        <v>1.0393769869656424</v>
      </c>
      <c r="M147" s="1"/>
      <c r="N147" s="1"/>
      <c r="Q147" s="7">
        <f t="shared" si="22"/>
        <v>0.85438844192721453</v>
      </c>
      <c r="R147" s="7">
        <f t="shared" si="23"/>
        <v>0.35595481567555004</v>
      </c>
      <c r="S147" s="7">
        <f t="shared" si="27"/>
        <v>0.45704792090435203</v>
      </c>
      <c r="T147" s="7">
        <f t="shared" si="24"/>
        <v>1.2653966522845908</v>
      </c>
      <c r="V147" s="7">
        <f t="shared" si="25"/>
        <v>0.73319695769792692</v>
      </c>
      <c r="AF147" s="7">
        <f t="shared" si="26"/>
        <v>0.70989523291200252</v>
      </c>
    </row>
    <row r="148" spans="1:32" x14ac:dyDescent="0.35">
      <c r="A148" t="s">
        <v>33</v>
      </c>
      <c r="B148">
        <v>2003</v>
      </c>
      <c r="C148" s="7">
        <v>2003.9166666666665</v>
      </c>
      <c r="D148" s="1">
        <v>1.0506711675855458</v>
      </c>
      <c r="E148" s="7">
        <v>2003.9166666666665</v>
      </c>
      <c r="F148" s="1">
        <v>1.0196696586454401</v>
      </c>
      <c r="G148" s="7">
        <v>2003.9166666666665</v>
      </c>
      <c r="H148" s="1">
        <v>1.0667616563025906</v>
      </c>
      <c r="I148" s="7">
        <v>2003.9166666666665</v>
      </c>
      <c r="J148" s="1">
        <v>1.0635185526595803</v>
      </c>
      <c r="L148" s="1">
        <f t="shared" si="21"/>
        <v>1.0501552587982892</v>
      </c>
      <c r="M148" s="1"/>
      <c r="N148" s="1"/>
      <c r="Q148" s="7">
        <f t="shared" si="22"/>
        <v>1.3545862303550016</v>
      </c>
      <c r="R148" s="7">
        <f t="shared" si="23"/>
        <v>0.70215687222737821</v>
      </c>
      <c r="S148" s="7">
        <f t="shared" si="27"/>
        <v>0.97575250979016481</v>
      </c>
      <c r="T148" s="7">
        <f t="shared" si="24"/>
        <v>1.2168583016307457</v>
      </c>
      <c r="V148" s="7">
        <f t="shared" si="25"/>
        <v>1.0623384785008225</v>
      </c>
      <c r="AF148" s="7">
        <f t="shared" si="26"/>
        <v>1.0716716038378591</v>
      </c>
    </row>
    <row r="149" spans="1:32" x14ac:dyDescent="0.35">
      <c r="A149" t="s">
        <v>35</v>
      </c>
      <c r="B149">
        <v>2003</v>
      </c>
      <c r="C149" s="7">
        <v>2003.8333333333333</v>
      </c>
      <c r="D149" s="1">
        <v>1.0435153468286018</v>
      </c>
      <c r="E149" s="7">
        <v>2003.8333333333333</v>
      </c>
      <c r="F149" s="1">
        <v>1.0149966090183726</v>
      </c>
      <c r="G149" s="7">
        <v>2003.8333333333333</v>
      </c>
      <c r="H149" s="1">
        <v>1.0611751890341496</v>
      </c>
      <c r="I149" s="7">
        <v>2003.8333333333333</v>
      </c>
      <c r="J149" s="1">
        <v>1.0556104974930878</v>
      </c>
      <c r="L149" s="1">
        <f t="shared" si="21"/>
        <v>1.0438244105935528</v>
      </c>
      <c r="M149" s="1"/>
      <c r="N149" s="1"/>
      <c r="Q149" s="7">
        <f t="shared" si="22"/>
        <v>1.114379127699654</v>
      </c>
      <c r="R149" s="7">
        <f t="shared" si="23"/>
        <v>0.55822723268655994</v>
      </c>
      <c r="S149" s="7">
        <f t="shared" si="27"/>
        <v>0.81932958331307704</v>
      </c>
      <c r="T149" s="7">
        <f t="shared" si="24"/>
        <v>0.9697282083774641</v>
      </c>
      <c r="V149" s="7">
        <f t="shared" si="25"/>
        <v>0.86541603801918876</v>
      </c>
      <c r="AF149" s="7">
        <f t="shared" si="26"/>
        <v>0.85917452416181495</v>
      </c>
    </row>
    <row r="150" spans="1:32" x14ac:dyDescent="0.35">
      <c r="A150" t="s">
        <v>37</v>
      </c>
      <c r="B150">
        <v>2003</v>
      </c>
      <c r="C150" s="7">
        <v>2003.75</v>
      </c>
      <c r="D150" s="1">
        <v>1.0465957165125728</v>
      </c>
      <c r="E150" s="7">
        <v>2003.75</v>
      </c>
      <c r="F150" s="1">
        <v>1.014462521420928</v>
      </c>
      <c r="G150" s="7">
        <v>2003.75</v>
      </c>
      <c r="H150" s="1">
        <v>1.0469722479163399</v>
      </c>
      <c r="I150" s="7">
        <v>2003.75</v>
      </c>
      <c r="J150" s="1">
        <v>1.0564433211918303</v>
      </c>
      <c r="L150" s="1">
        <f t="shared" si="21"/>
        <v>1.0411184517604177</v>
      </c>
      <c r="M150" s="1"/>
      <c r="N150" s="1"/>
      <c r="Q150" s="7">
        <f t="shared" si="22"/>
        <v>1.2177811974309298</v>
      </c>
      <c r="R150" s="7">
        <f t="shared" si="23"/>
        <v>0.54177736771226659</v>
      </c>
      <c r="S150" s="7">
        <f t="shared" si="27"/>
        <v>0.42164254650178185</v>
      </c>
      <c r="T150" s="7">
        <f t="shared" si="24"/>
        <v>0.99575430379544294</v>
      </c>
      <c r="V150" s="7">
        <f t="shared" si="25"/>
        <v>0.79423885386010529</v>
      </c>
      <c r="AF150" s="7">
        <f t="shared" si="26"/>
        <v>0.76834809282602523</v>
      </c>
    </row>
    <row r="151" spans="1:32" x14ac:dyDescent="0.35">
      <c r="A151" t="s">
        <v>39</v>
      </c>
      <c r="B151">
        <v>2003</v>
      </c>
      <c r="C151" s="7">
        <v>2003.6666666666665</v>
      </c>
      <c r="D151" s="1">
        <v>1.0444486521555056</v>
      </c>
      <c r="E151" s="7">
        <v>2003.6666666666665</v>
      </c>
      <c r="F151" s="1">
        <v>1.002869803077135</v>
      </c>
      <c r="G151" s="7">
        <v>2003.6666666666665</v>
      </c>
      <c r="H151" s="1">
        <v>1.0136799473941016</v>
      </c>
      <c r="I151" s="7">
        <v>2003.6666666666665</v>
      </c>
      <c r="J151" s="1">
        <v>1.0588995658954516</v>
      </c>
      <c r="L151" s="1">
        <f t="shared" si="21"/>
        <v>1.0299744921305485</v>
      </c>
      <c r="M151" s="1"/>
      <c r="N151" s="1"/>
      <c r="Q151" s="7">
        <f t="shared" si="22"/>
        <v>1.1457083876242855</v>
      </c>
      <c r="R151" s="7">
        <f t="shared" si="23"/>
        <v>0.18472235959598959</v>
      </c>
      <c r="S151" s="7">
        <f t="shared" si="27"/>
        <v>-0.51055285116257476</v>
      </c>
      <c r="T151" s="7">
        <f t="shared" si="24"/>
        <v>1.072512997289492</v>
      </c>
      <c r="V151" s="7">
        <f t="shared" si="25"/>
        <v>0.47309772333679811</v>
      </c>
      <c r="AF151" s="7">
        <f t="shared" si="26"/>
        <v>0.39429728623690302</v>
      </c>
    </row>
    <row r="152" spans="1:32" x14ac:dyDescent="0.35">
      <c r="A152" t="s">
        <v>41</v>
      </c>
      <c r="B152">
        <v>2003</v>
      </c>
      <c r="C152" s="7">
        <v>2003.5833333333333</v>
      </c>
      <c r="D152" s="1">
        <v>1.0355586775500707</v>
      </c>
      <c r="E152" s="7">
        <v>2003.5833333333333</v>
      </c>
      <c r="F152" s="1">
        <v>0.9902715737283736</v>
      </c>
      <c r="G152" s="7">
        <v>2003.5833333333333</v>
      </c>
      <c r="H152" s="1">
        <v>0.99443850477489693</v>
      </c>
      <c r="I152" s="7">
        <v>2003.5833333333333</v>
      </c>
      <c r="J152" s="1">
        <v>1.0383992269302758</v>
      </c>
      <c r="L152" s="1">
        <f t="shared" si="21"/>
        <v>1.0146669957459042</v>
      </c>
      <c r="M152" s="1"/>
      <c r="N152" s="1"/>
      <c r="Q152" s="7">
        <f t="shared" si="22"/>
        <v>0.84728908462833985</v>
      </c>
      <c r="R152" s="7">
        <f t="shared" si="23"/>
        <v>-0.20330232529435122</v>
      </c>
      <c r="S152" s="7">
        <f t="shared" si="27"/>
        <v>-1.0493195922012168</v>
      </c>
      <c r="T152" s="7">
        <f t="shared" si="24"/>
        <v>0.4318686702678266</v>
      </c>
      <c r="V152" s="7">
        <f t="shared" si="25"/>
        <v>6.6339593501495986E-3</v>
      </c>
      <c r="AF152" s="7">
        <f t="shared" si="26"/>
        <v>-0.11950405186103727</v>
      </c>
    </row>
    <row r="153" spans="1:32" x14ac:dyDescent="0.35">
      <c r="A153" t="s">
        <v>43</v>
      </c>
      <c r="B153">
        <v>2003</v>
      </c>
      <c r="C153" s="7">
        <v>2003.5</v>
      </c>
      <c r="D153" s="1">
        <v>1.020402845987167</v>
      </c>
      <c r="E153" s="7">
        <v>2003.5</v>
      </c>
      <c r="F153" s="1">
        <v>0.96852613471898685</v>
      </c>
      <c r="G153" s="7">
        <v>2003.5</v>
      </c>
      <c r="H153" s="1">
        <v>0.97783907267376602</v>
      </c>
      <c r="I153" s="7">
        <v>2003.5</v>
      </c>
      <c r="J153" s="1">
        <v>1.0161099593666749</v>
      </c>
      <c r="L153" s="1">
        <f t="shared" si="21"/>
        <v>0.99571950318664881</v>
      </c>
      <c r="M153" s="1"/>
      <c r="N153" s="1"/>
      <c r="Q153" s="7">
        <f t="shared" si="22"/>
        <v>0.33853704741097485</v>
      </c>
      <c r="R153" s="7">
        <f t="shared" si="23"/>
        <v>-0.87306050208520025</v>
      </c>
      <c r="S153" s="7">
        <f t="shared" si="27"/>
        <v>-1.5141091671415272</v>
      </c>
      <c r="T153" s="7">
        <f t="shared" si="24"/>
        <v>-0.26468043764427163</v>
      </c>
      <c r="V153" s="7">
        <f t="shared" si="25"/>
        <v>-0.5783282648650061</v>
      </c>
      <c r="AF153" s="7">
        <f t="shared" si="26"/>
        <v>-0.75548310329574153</v>
      </c>
    </row>
    <row r="154" spans="1:32" x14ac:dyDescent="0.35">
      <c r="A154" t="s">
        <v>44</v>
      </c>
      <c r="B154">
        <v>2003</v>
      </c>
      <c r="C154" s="7">
        <v>2003.4166666666665</v>
      </c>
      <c r="D154" s="1">
        <v>1.0002939357263161</v>
      </c>
      <c r="E154" s="7">
        <v>2003.4166666666665</v>
      </c>
      <c r="F154" s="1">
        <v>0.95474221154993122</v>
      </c>
      <c r="G154" s="7">
        <v>2003.4166666666665</v>
      </c>
      <c r="H154" s="1">
        <v>0.96370144981927752</v>
      </c>
      <c r="I154" s="7">
        <v>2003.4166666666665</v>
      </c>
      <c r="J154" s="1">
        <v>1.0115563353736072</v>
      </c>
      <c r="L154" s="1">
        <f t="shared" si="21"/>
        <v>0.9825734831172831</v>
      </c>
      <c r="M154" s="1"/>
      <c r="N154" s="1"/>
      <c r="Q154" s="7">
        <f t="shared" si="22"/>
        <v>-0.33648028957697024</v>
      </c>
      <c r="R154" s="7">
        <f t="shared" si="23"/>
        <v>-1.2976044833194607</v>
      </c>
      <c r="S154" s="7">
        <f t="shared" si="27"/>
        <v>-1.9099672710315059</v>
      </c>
      <c r="T154" s="7">
        <f t="shared" si="24"/>
        <v>-0.40698312754145449</v>
      </c>
      <c r="V154" s="7">
        <f t="shared" si="25"/>
        <v>-0.9877587928673478</v>
      </c>
      <c r="AF154" s="7">
        <f t="shared" si="26"/>
        <v>-1.196733751512665</v>
      </c>
    </row>
    <row r="155" spans="1:32" x14ac:dyDescent="0.35">
      <c r="A155" t="s">
        <v>42</v>
      </c>
      <c r="B155">
        <v>2003</v>
      </c>
      <c r="C155" s="7">
        <v>2003.3333333333333</v>
      </c>
      <c r="D155" s="1">
        <v>0.97904298196606343</v>
      </c>
      <c r="E155" s="7">
        <v>2003.3333333333333</v>
      </c>
      <c r="F155" s="1">
        <v>0.94716189756416658</v>
      </c>
      <c r="G155" s="7">
        <v>2003.3333333333333</v>
      </c>
      <c r="H155" s="1">
        <v>0.95487744725475521</v>
      </c>
      <c r="I155" s="7">
        <v>2003.3333333333333</v>
      </c>
      <c r="J155" s="1">
        <v>1.0013507450954338</v>
      </c>
      <c r="L155" s="1">
        <f t="shared" si="21"/>
        <v>0.97060826797010469</v>
      </c>
      <c r="M155" s="1"/>
      <c r="N155" s="1"/>
      <c r="Q155" s="7">
        <f t="shared" si="22"/>
        <v>-1.049833824384216</v>
      </c>
      <c r="R155" s="7">
        <f t="shared" si="23"/>
        <v>-1.5310776853282291</v>
      </c>
      <c r="S155" s="7">
        <f t="shared" si="27"/>
        <v>-2.1570422538531844</v>
      </c>
      <c r="T155" s="7">
        <f t="shared" si="24"/>
        <v>-0.72591217192095059</v>
      </c>
      <c r="V155" s="7">
        <f t="shared" si="25"/>
        <v>-1.365966483871645</v>
      </c>
      <c r="AF155" s="7">
        <f t="shared" si="26"/>
        <v>-1.5983502797005886</v>
      </c>
    </row>
    <row r="156" spans="1:32" x14ac:dyDescent="0.35">
      <c r="A156" t="s">
        <v>40</v>
      </c>
      <c r="B156">
        <v>2003</v>
      </c>
      <c r="C156" s="7">
        <v>2003.25</v>
      </c>
      <c r="D156" s="1">
        <v>0.96267006732965854</v>
      </c>
      <c r="E156" s="7">
        <v>2003.25</v>
      </c>
      <c r="F156" s="1">
        <v>0.94538668693369765</v>
      </c>
      <c r="G156" s="7">
        <v>2003.25</v>
      </c>
      <c r="H156" s="1">
        <v>0.95780745550471569</v>
      </c>
      <c r="I156" s="7">
        <v>2003.25</v>
      </c>
      <c r="J156" s="1">
        <v>0.99804952409117065</v>
      </c>
      <c r="L156" s="1">
        <f t="shared" si="21"/>
        <v>0.96597843346481072</v>
      </c>
      <c r="M156" s="1"/>
      <c r="N156" s="1"/>
      <c r="Q156" s="7">
        <f t="shared" si="22"/>
        <v>-1.5994409932079581</v>
      </c>
      <c r="R156" s="7">
        <f t="shared" si="23"/>
        <v>-1.5857540629708864</v>
      </c>
      <c r="S156" s="7">
        <f t="shared" si="27"/>
        <v>-2.0750010562523364</v>
      </c>
      <c r="T156" s="7">
        <f t="shared" si="24"/>
        <v>-0.82907673482005873</v>
      </c>
      <c r="V156" s="7">
        <f t="shared" si="25"/>
        <v>-1.52231821181281</v>
      </c>
      <c r="AF156" s="7">
        <f t="shared" si="26"/>
        <v>-1.7537522542768085</v>
      </c>
    </row>
    <row r="157" spans="1:32" x14ac:dyDescent="0.35">
      <c r="A157" t="s">
        <v>38</v>
      </c>
      <c r="B157">
        <v>2003</v>
      </c>
      <c r="C157" s="7">
        <v>2003.1666666666665</v>
      </c>
      <c r="D157" s="1">
        <v>0.97024306750334333</v>
      </c>
      <c r="E157" s="7">
        <v>2003.1666666666665</v>
      </c>
      <c r="F157" s="1">
        <v>0.94130159098902633</v>
      </c>
      <c r="G157" s="7">
        <v>2003.1666666666665</v>
      </c>
      <c r="H157" s="1">
        <v>0.96133529216309244</v>
      </c>
      <c r="I157" s="7">
        <v>2003.1666666666665</v>
      </c>
      <c r="J157" s="1">
        <v>1.0040603051453747</v>
      </c>
      <c r="L157" s="1">
        <f t="shared" si="21"/>
        <v>0.9692350639502092</v>
      </c>
      <c r="M157" s="1"/>
      <c r="N157" s="1"/>
      <c r="Q157" s="7">
        <f t="shared" si="22"/>
        <v>-1.3452299820721596</v>
      </c>
      <c r="R157" s="7">
        <f t="shared" si="23"/>
        <v>-1.7115747654518851</v>
      </c>
      <c r="S157" s="7">
        <f t="shared" si="27"/>
        <v>-1.9762204659938263</v>
      </c>
      <c r="T157" s="7">
        <f t="shared" si="24"/>
        <v>-0.64123726592705788</v>
      </c>
      <c r="V157" s="7">
        <f t="shared" si="25"/>
        <v>-1.4185656198612322</v>
      </c>
      <c r="AF157" s="7">
        <f t="shared" si="26"/>
        <v>-1.6444423410785389</v>
      </c>
    </row>
    <row r="158" spans="1:32" x14ac:dyDescent="0.35">
      <c r="A158" t="s">
        <v>36</v>
      </c>
      <c r="B158">
        <v>2003</v>
      </c>
      <c r="C158" s="7">
        <v>2003.0833333333333</v>
      </c>
      <c r="D158" s="1">
        <v>1.0020050494205495</v>
      </c>
      <c r="E158" s="7">
        <v>2003.0833333333333</v>
      </c>
      <c r="F158" s="1">
        <v>0.95336360037470957</v>
      </c>
      <c r="G158" s="7">
        <v>2003.0833333333333</v>
      </c>
      <c r="H158" s="1">
        <v>0.98561969848357078</v>
      </c>
      <c r="I158" s="7">
        <v>2003.0833333333333</v>
      </c>
      <c r="J158" s="1">
        <v>1.0149947735563825</v>
      </c>
      <c r="L158" s="1">
        <f t="shared" si="21"/>
        <v>0.98899578045880299</v>
      </c>
      <c r="M158" s="1"/>
      <c r="N158" s="1"/>
      <c r="Q158" s="7">
        <f t="shared" si="22"/>
        <v>-0.27904150278136275</v>
      </c>
      <c r="R158" s="7">
        <f t="shared" si="23"/>
        <v>-1.3400656222654883</v>
      </c>
      <c r="S158" s="7">
        <f t="shared" si="27"/>
        <v>-1.2962490776591655</v>
      </c>
      <c r="T158" s="7">
        <f t="shared" si="24"/>
        <v>-0.2995304693511886</v>
      </c>
      <c r="V158" s="7">
        <f t="shared" si="25"/>
        <v>-0.80372166801430123</v>
      </c>
      <c r="AF158" s="7">
        <f t="shared" si="26"/>
        <v>-0.98116715036383495</v>
      </c>
    </row>
    <row r="159" spans="1:32" x14ac:dyDescent="0.35">
      <c r="A159" t="s">
        <v>34</v>
      </c>
      <c r="B159">
        <v>2003</v>
      </c>
      <c r="C159" s="7">
        <v>2003</v>
      </c>
      <c r="D159" s="1">
        <v>1.042889488235464</v>
      </c>
      <c r="E159" s="7">
        <v>2003</v>
      </c>
      <c r="F159" s="1">
        <v>0.98547773784244841</v>
      </c>
      <c r="G159" s="7">
        <v>2003</v>
      </c>
      <c r="H159" s="1">
        <v>1.0262939436741658</v>
      </c>
      <c r="I159" s="7">
        <v>2003</v>
      </c>
      <c r="J159" s="1">
        <v>1.0313769819124903</v>
      </c>
      <c r="L159" s="1">
        <f t="shared" si="21"/>
        <v>1.0215095379161421</v>
      </c>
      <c r="M159" s="1"/>
      <c r="N159" s="1"/>
      <c r="Q159" s="7">
        <f t="shared" si="22"/>
        <v>1.0933702617098657</v>
      </c>
      <c r="R159" s="7">
        <f t="shared" si="23"/>
        <v>-0.35095217413878471</v>
      </c>
      <c r="S159" s="7">
        <f t="shared" si="27"/>
        <v>-0.15735679399684394</v>
      </c>
      <c r="T159" s="7">
        <f t="shared" si="24"/>
        <v>0.21242052156928523</v>
      </c>
      <c r="V159" s="7">
        <f t="shared" si="25"/>
        <v>0.19937045378588061</v>
      </c>
      <c r="AF159" s="7">
        <f t="shared" si="26"/>
        <v>0.11016821032460498</v>
      </c>
    </row>
    <row r="160" spans="1:32" x14ac:dyDescent="0.35">
      <c r="A160" t="s">
        <v>33</v>
      </c>
      <c r="B160">
        <v>2002</v>
      </c>
      <c r="C160" s="7">
        <v>2002.9166666666665</v>
      </c>
      <c r="D160" s="1">
        <v>1.0702466140588873</v>
      </c>
      <c r="E160" s="7">
        <v>2002.9166666666665</v>
      </c>
      <c r="F160" s="1">
        <v>0.99210447694355219</v>
      </c>
      <c r="G160" s="7">
        <v>2002.9166666666665</v>
      </c>
      <c r="H160" s="1">
        <v>1.036183266083641</v>
      </c>
      <c r="I160" s="7">
        <v>2002.9166666666665</v>
      </c>
      <c r="J160" s="1">
        <v>1.0377282485629677</v>
      </c>
      <c r="L160" s="1">
        <f t="shared" si="21"/>
        <v>1.0340656514122621</v>
      </c>
      <c r="M160" s="1"/>
      <c r="N160" s="1"/>
      <c r="Q160" s="7">
        <f t="shared" si="22"/>
        <v>2.0116962167927204</v>
      </c>
      <c r="R160" s="7">
        <f t="shared" si="23"/>
        <v>-0.1468490196102403</v>
      </c>
      <c r="S160" s="7">
        <f t="shared" si="27"/>
        <v>0.11954749592970659</v>
      </c>
      <c r="T160" s="7">
        <f t="shared" si="24"/>
        <v>0.41090031041288283</v>
      </c>
      <c r="V160" s="7">
        <f t="shared" si="25"/>
        <v>0.59882375088126738</v>
      </c>
      <c r="AF160" s="7">
        <f t="shared" si="26"/>
        <v>0.53161844317181239</v>
      </c>
    </row>
    <row r="161" spans="1:32" x14ac:dyDescent="0.35">
      <c r="A161" t="s">
        <v>35</v>
      </c>
      <c r="B161">
        <v>2002</v>
      </c>
      <c r="C161" s="7">
        <v>2002.8333333333333</v>
      </c>
      <c r="D161" s="1">
        <v>1.0753754803574753</v>
      </c>
      <c r="E161" s="7">
        <v>2002.8333333333333</v>
      </c>
      <c r="F161" s="1">
        <v>0.99373745130543689</v>
      </c>
      <c r="G161" s="7">
        <v>2002.8333333333333</v>
      </c>
      <c r="H161" s="1">
        <v>1.0280813559069486</v>
      </c>
      <c r="I161" s="7">
        <v>2002.8333333333333</v>
      </c>
      <c r="J161" s="1">
        <v>1.0333109485853498</v>
      </c>
      <c r="L161" s="1">
        <f t="shared" si="21"/>
        <v>1.0326263090388026</v>
      </c>
      <c r="M161" s="1"/>
      <c r="N161" s="1"/>
      <c r="Q161" s="7">
        <f t="shared" si="22"/>
        <v>2.1838623673066162</v>
      </c>
      <c r="R161" s="7">
        <f t="shared" si="23"/>
        <v>-9.6553510244345941E-2</v>
      </c>
      <c r="S161" s="7">
        <f t="shared" si="27"/>
        <v>-0.1073086618163689</v>
      </c>
      <c r="T161" s="7">
        <f t="shared" si="24"/>
        <v>0.27285780408061727</v>
      </c>
      <c r="V161" s="7">
        <f t="shared" si="25"/>
        <v>0.56321449983162963</v>
      </c>
      <c r="AF161" s="7">
        <f t="shared" si="26"/>
        <v>0.48330642539427099</v>
      </c>
    </row>
    <row r="162" spans="1:32" x14ac:dyDescent="0.35">
      <c r="A162" t="s">
        <v>37</v>
      </c>
      <c r="B162">
        <v>2002</v>
      </c>
      <c r="C162" s="7">
        <v>2002.75</v>
      </c>
      <c r="D162" s="1">
        <v>1.078990591488322</v>
      </c>
      <c r="E162" s="7">
        <v>2002.75</v>
      </c>
      <c r="F162" s="1">
        <v>0.98667507478214023</v>
      </c>
      <c r="G162" s="7">
        <v>2002.75</v>
      </c>
      <c r="H162" s="1">
        <v>1.0137885753413025</v>
      </c>
      <c r="I162" s="7">
        <v>2002.75</v>
      </c>
      <c r="J162" s="1">
        <v>1.0295712083451236</v>
      </c>
      <c r="L162" s="1">
        <f t="shared" si="21"/>
        <v>1.0272563624892221</v>
      </c>
      <c r="M162" s="1"/>
      <c r="N162" s="1"/>
      <c r="Q162" s="7">
        <f t="shared" si="22"/>
        <v>2.3052146761490517</v>
      </c>
      <c r="R162" s="7">
        <f t="shared" si="23"/>
        <v>-0.31407427043740793</v>
      </c>
      <c r="S162" s="7">
        <f t="shared" si="27"/>
        <v>-0.50751123280487775</v>
      </c>
      <c r="T162" s="7">
        <f t="shared" si="24"/>
        <v>0.15598932822246817</v>
      </c>
      <c r="V162" s="7">
        <f t="shared" si="25"/>
        <v>0.40990462528230853</v>
      </c>
      <c r="AF162" s="7">
        <f t="shared" si="26"/>
        <v>0.30306233757226514</v>
      </c>
    </row>
    <row r="163" spans="1:32" x14ac:dyDescent="0.35">
      <c r="A163" t="s">
        <v>39</v>
      </c>
      <c r="B163">
        <v>2002</v>
      </c>
      <c r="C163" s="7">
        <v>2002.6666666666665</v>
      </c>
      <c r="D163" s="1">
        <v>1.0585676914372066</v>
      </c>
      <c r="E163" s="7">
        <v>2002.6666666666665</v>
      </c>
      <c r="F163" s="1">
        <v>0.98268403198760823</v>
      </c>
      <c r="G163" s="7">
        <v>2002.6666666666665</v>
      </c>
      <c r="H163" s="1">
        <v>1.008115275693789</v>
      </c>
      <c r="I163" s="7">
        <v>2002.6666666666665</v>
      </c>
      <c r="J163" s="1">
        <v>1.0226108005755317</v>
      </c>
      <c r="L163" s="1">
        <f t="shared" si="21"/>
        <v>1.0179944499235338</v>
      </c>
      <c r="M163" s="1"/>
      <c r="N163" s="1"/>
      <c r="Q163" s="7">
        <f t="shared" si="22"/>
        <v>1.6196573074380387</v>
      </c>
      <c r="R163" s="7">
        <f t="shared" si="23"/>
        <v>-0.43699814171019064</v>
      </c>
      <c r="S163" s="7">
        <f t="shared" si="27"/>
        <v>-0.66636549454176974</v>
      </c>
      <c r="T163" s="7">
        <f t="shared" si="24"/>
        <v>-6.1526380123691167E-2</v>
      </c>
      <c r="V163" s="7">
        <f t="shared" si="25"/>
        <v>0.11369182276559678</v>
      </c>
      <c r="AF163" s="7">
        <f t="shared" si="26"/>
        <v>-7.8169172724768775E-3</v>
      </c>
    </row>
    <row r="164" spans="1:32" x14ac:dyDescent="0.35">
      <c r="A164" t="s">
        <v>41</v>
      </c>
      <c r="B164">
        <v>2002</v>
      </c>
      <c r="C164" s="7">
        <v>2002.5833333333333</v>
      </c>
      <c r="D164" s="1">
        <v>1.020941079228415</v>
      </c>
      <c r="E164" s="7">
        <v>2002.5833333333333</v>
      </c>
      <c r="F164" s="1">
        <v>0.97590222762456968</v>
      </c>
      <c r="G164" s="7">
        <v>2002.5833333333333</v>
      </c>
      <c r="H164" s="1">
        <v>1.0014788394800958</v>
      </c>
      <c r="I164" s="7">
        <v>2002.5833333333333</v>
      </c>
      <c r="J164" s="1">
        <v>1.0169639104393988</v>
      </c>
      <c r="L164" s="1">
        <f t="shared" si="21"/>
        <v>1.0038215141931199</v>
      </c>
      <c r="M164" s="1"/>
      <c r="N164" s="1"/>
      <c r="Q164" s="7">
        <f t="shared" si="22"/>
        <v>0.35660449932521177</v>
      </c>
      <c r="R164" s="7">
        <f t="shared" si="23"/>
        <v>-0.64587729671737293</v>
      </c>
      <c r="S164" s="7">
        <f t="shared" si="27"/>
        <v>-0.85218789786789451</v>
      </c>
      <c r="T164" s="7">
        <f t="shared" si="24"/>
        <v>-0.23799410278785965</v>
      </c>
      <c r="V164" s="7">
        <f t="shared" si="25"/>
        <v>-0.34486369951197882</v>
      </c>
      <c r="AF164" s="7">
        <f t="shared" si="26"/>
        <v>-0.48353633997100531</v>
      </c>
    </row>
    <row r="165" spans="1:32" x14ac:dyDescent="0.35">
      <c r="A165" t="s">
        <v>43</v>
      </c>
      <c r="B165">
        <v>2002</v>
      </c>
      <c r="C165" s="7">
        <v>2002.5</v>
      </c>
      <c r="D165" s="1">
        <v>0.99198400137843079</v>
      </c>
      <c r="E165" s="7">
        <v>2002.5</v>
      </c>
      <c r="F165" s="1">
        <v>0.96561832545637305</v>
      </c>
      <c r="G165" s="7">
        <v>2002.5</v>
      </c>
      <c r="H165" s="1">
        <v>0.99008316008940489</v>
      </c>
      <c r="I165" s="7">
        <v>2002.5</v>
      </c>
      <c r="J165" s="1">
        <v>1.0119522487398556</v>
      </c>
      <c r="L165" s="1">
        <f t="shared" si="21"/>
        <v>0.98990943391601594</v>
      </c>
      <c r="M165" s="1"/>
      <c r="N165" s="1"/>
      <c r="Q165" s="7">
        <f t="shared" si="22"/>
        <v>-0.61542875974716937</v>
      </c>
      <c r="R165" s="7">
        <f t="shared" si="23"/>
        <v>-0.96262084756008737</v>
      </c>
      <c r="S165" s="7">
        <f t="shared" si="27"/>
        <v>-1.1712706802116595</v>
      </c>
      <c r="T165" s="7">
        <f t="shared" si="24"/>
        <v>-0.39461066616362522</v>
      </c>
      <c r="V165" s="7">
        <f t="shared" si="25"/>
        <v>-0.78598273842063537</v>
      </c>
      <c r="AF165" s="7">
        <f t="shared" si="26"/>
        <v>-0.95050006039184332</v>
      </c>
    </row>
    <row r="166" spans="1:32" x14ac:dyDescent="0.35">
      <c r="A166" t="s">
        <v>44</v>
      </c>
      <c r="B166">
        <v>2002</v>
      </c>
      <c r="C166" s="7">
        <v>2002.4166666666665</v>
      </c>
      <c r="D166" s="1">
        <v>0.98367290532070017</v>
      </c>
      <c r="E166" s="7">
        <v>2002.4166666666665</v>
      </c>
      <c r="F166" s="1">
        <v>0.95601774728931643</v>
      </c>
      <c r="G166" s="7">
        <v>2002.4166666666665</v>
      </c>
      <c r="H166" s="1">
        <v>0.98272399814232836</v>
      </c>
      <c r="I166" s="7">
        <v>2002.4166666666665</v>
      </c>
      <c r="J166" s="1">
        <v>1.0095219638307447</v>
      </c>
      <c r="L166" s="1">
        <f t="shared" si="21"/>
        <v>0.98298415364577241</v>
      </c>
      <c r="M166" s="1"/>
      <c r="N166" s="1"/>
      <c r="Q166" s="7">
        <f t="shared" si="22"/>
        <v>-0.89441622627649342</v>
      </c>
      <c r="R166" s="7">
        <f t="shared" si="23"/>
        <v>-1.2583180614231984</v>
      </c>
      <c r="S166" s="7">
        <f t="shared" si="27"/>
        <v>-1.3773296424978196</v>
      </c>
      <c r="T166" s="7">
        <f t="shared" si="24"/>
        <v>-0.47055810501881029</v>
      </c>
      <c r="V166" s="7">
        <f t="shared" si="25"/>
        <v>-1.0001555088040803</v>
      </c>
      <c r="AF166" s="7">
        <f t="shared" si="26"/>
        <v>-1.1829494551291713</v>
      </c>
    </row>
    <row r="167" spans="1:32" x14ac:dyDescent="0.35">
      <c r="A167" t="s">
        <v>42</v>
      </c>
      <c r="B167">
        <v>2002</v>
      </c>
      <c r="C167" s="7">
        <v>2002.3333333333333</v>
      </c>
      <c r="D167" s="1">
        <v>0.98004229795752651</v>
      </c>
      <c r="E167" s="7">
        <v>2002.3333333333333</v>
      </c>
      <c r="F167" s="1">
        <v>0.94760157819917468</v>
      </c>
      <c r="G167" s="7">
        <v>2002.3333333333333</v>
      </c>
      <c r="H167" s="1">
        <v>0.97935276901870538</v>
      </c>
      <c r="I167" s="7">
        <v>2002.3333333333333</v>
      </c>
      <c r="J167" s="1">
        <v>0.99690395485721905</v>
      </c>
      <c r="L167" s="1">
        <f t="shared" si="21"/>
        <v>0.97597515000815649</v>
      </c>
      <c r="M167" s="1"/>
      <c r="N167" s="1"/>
      <c r="Q167" s="7">
        <f t="shared" si="22"/>
        <v>-1.0162887137533263</v>
      </c>
      <c r="R167" s="7">
        <f t="shared" si="23"/>
        <v>-1.5175355489590276</v>
      </c>
      <c r="S167" s="7">
        <f t="shared" si="27"/>
        <v>-1.4717251701188137</v>
      </c>
      <c r="T167" s="7">
        <f t="shared" si="24"/>
        <v>-0.86487626146146357</v>
      </c>
      <c r="V167" s="7">
        <f t="shared" si="25"/>
        <v>-1.2176064235731578</v>
      </c>
      <c r="AF167" s="7">
        <f t="shared" si="26"/>
        <v>-1.418209053253459</v>
      </c>
    </row>
    <row r="168" spans="1:32" x14ac:dyDescent="0.35">
      <c r="A168" t="s">
        <v>40</v>
      </c>
      <c r="B168">
        <v>2002</v>
      </c>
      <c r="C168" s="7">
        <v>2002.25</v>
      </c>
      <c r="D168" s="1">
        <v>0.9761425195484803</v>
      </c>
      <c r="E168" s="7">
        <v>2002.25</v>
      </c>
      <c r="F168" s="1">
        <v>0.94013795122991217</v>
      </c>
      <c r="G168" s="7">
        <v>2002.25</v>
      </c>
      <c r="H168" s="1">
        <v>0.97692434133831141</v>
      </c>
      <c r="I168" s="7">
        <v>2002.25</v>
      </c>
      <c r="J168" s="1">
        <v>0.98904009634586998</v>
      </c>
      <c r="L168" s="1">
        <f t="shared" si="21"/>
        <v>0.97056122711564352</v>
      </c>
      <c r="M168" s="1"/>
      <c r="N168" s="1"/>
      <c r="Q168" s="7">
        <f t="shared" si="22"/>
        <v>-1.1471967541379107</v>
      </c>
      <c r="R168" s="7">
        <f t="shared" si="23"/>
        <v>-1.7474147980752421</v>
      </c>
      <c r="S168" s="7">
        <f t="shared" si="27"/>
        <v>-1.5397219463016989</v>
      </c>
      <c r="T168" s="7">
        <f t="shared" si="24"/>
        <v>-1.1106251904111171</v>
      </c>
      <c r="V168" s="7">
        <f t="shared" si="25"/>
        <v>-1.386239672231492</v>
      </c>
      <c r="AF168" s="7">
        <f t="shared" si="26"/>
        <v>-1.5999292220279351</v>
      </c>
    </row>
    <row r="169" spans="1:32" x14ac:dyDescent="0.35">
      <c r="A169" t="s">
        <v>38</v>
      </c>
      <c r="B169">
        <v>2002</v>
      </c>
      <c r="C169" s="7">
        <v>2002.1666666666665</v>
      </c>
      <c r="D169" s="1">
        <v>0.99236816238519576</v>
      </c>
      <c r="E169" s="7">
        <v>2002.1666666666665</v>
      </c>
      <c r="F169" s="1">
        <v>0.9495059432786781</v>
      </c>
      <c r="G169" s="7">
        <v>2002.1666666666665</v>
      </c>
      <c r="H169" s="1">
        <v>0.9818782624359248</v>
      </c>
      <c r="I169" s="7">
        <v>2002.1666666666665</v>
      </c>
      <c r="J169" s="1">
        <v>1.0003985156973125</v>
      </c>
      <c r="L169" s="1">
        <f t="shared" si="21"/>
        <v>0.98103772094927788</v>
      </c>
      <c r="M169" s="1"/>
      <c r="N169" s="1"/>
      <c r="Q169" s="7">
        <f t="shared" si="22"/>
        <v>-0.60253321561288842</v>
      </c>
      <c r="R169" s="7">
        <f t="shared" si="23"/>
        <v>-1.4588812222727832</v>
      </c>
      <c r="S169" s="7">
        <f t="shared" si="27"/>
        <v>-1.4010105212830868</v>
      </c>
      <c r="T169" s="7">
        <f t="shared" si="24"/>
        <v>-0.75566974631842276</v>
      </c>
      <c r="V169" s="7">
        <f t="shared" si="25"/>
        <v>-1.0545236763717953</v>
      </c>
      <c r="AF169" s="7">
        <f t="shared" si="26"/>
        <v>-1.2482821325864533</v>
      </c>
    </row>
    <row r="170" spans="1:32" x14ac:dyDescent="0.35">
      <c r="A170" t="s">
        <v>36</v>
      </c>
      <c r="B170">
        <v>2002</v>
      </c>
      <c r="C170" s="7">
        <v>2002.0833333333333</v>
      </c>
      <c r="D170" s="1">
        <v>1.0264405977618047</v>
      </c>
      <c r="E170" s="7">
        <v>2002.0833333333333</v>
      </c>
      <c r="F170" s="1">
        <v>0.96457292992935928</v>
      </c>
      <c r="G170" s="7">
        <v>2002.0833333333333</v>
      </c>
      <c r="H170" s="1">
        <v>0.99230521504730251</v>
      </c>
      <c r="I170" s="7">
        <v>2002.0833333333333</v>
      </c>
      <c r="J170" s="1">
        <v>1.0128327752318076</v>
      </c>
      <c r="L170" s="1">
        <f t="shared" si="21"/>
        <v>0.9990378794925685</v>
      </c>
      <c r="M170" s="1"/>
      <c r="N170" s="1"/>
      <c r="Q170" s="7">
        <f t="shared" si="22"/>
        <v>0.54121273055054109</v>
      </c>
      <c r="R170" s="7">
        <f t="shared" si="23"/>
        <v>-0.99481896514675994</v>
      </c>
      <c r="S170" s="7">
        <f t="shared" si="27"/>
        <v>-1.1090524083404862</v>
      </c>
      <c r="T170" s="7">
        <f t="shared" si="24"/>
        <v>-0.36709383813363006</v>
      </c>
      <c r="V170" s="7">
        <f t="shared" si="25"/>
        <v>-0.48243812026758381</v>
      </c>
      <c r="AF170" s="7">
        <f t="shared" si="26"/>
        <v>-0.6441006705679182</v>
      </c>
    </row>
    <row r="171" spans="1:32" x14ac:dyDescent="0.35">
      <c r="A171" t="s">
        <v>34</v>
      </c>
      <c r="B171">
        <v>2002</v>
      </c>
      <c r="C171" s="7">
        <v>2002</v>
      </c>
      <c r="D171" s="1">
        <v>1.0438819196998599</v>
      </c>
      <c r="E171" s="7">
        <v>2002</v>
      </c>
      <c r="F171" s="1">
        <v>0.97971207136841942</v>
      </c>
      <c r="G171" s="7">
        <v>2002</v>
      </c>
      <c r="H171" s="1">
        <v>1.0150051091752712</v>
      </c>
      <c r="I171" s="7">
        <v>2002</v>
      </c>
      <c r="J171" s="1">
        <v>1.051146399575547</v>
      </c>
      <c r="L171" s="1">
        <f t="shared" si="21"/>
        <v>1.0224363749547745</v>
      </c>
      <c r="M171" s="1"/>
      <c r="N171" s="1"/>
      <c r="Q171" s="7">
        <f t="shared" si="22"/>
        <v>1.1266842720440686</v>
      </c>
      <c r="R171" s="7">
        <f t="shared" si="23"/>
        <v>-0.52853434500058505</v>
      </c>
      <c r="S171" s="7">
        <f t="shared" si="27"/>
        <v>-0.47344788412246763</v>
      </c>
      <c r="T171" s="7">
        <f t="shared" si="24"/>
        <v>0.83022324648391399</v>
      </c>
      <c r="V171" s="7">
        <f t="shared" si="25"/>
        <v>0.23873132235123248</v>
      </c>
      <c r="AF171" s="7">
        <f t="shared" si="26"/>
        <v>0.14127781170434239</v>
      </c>
    </row>
    <row r="172" spans="1:32" x14ac:dyDescent="0.35">
      <c r="A172" t="s">
        <v>33</v>
      </c>
      <c r="B172">
        <v>2001</v>
      </c>
      <c r="C172" s="7">
        <v>2001.9166666666665</v>
      </c>
      <c r="D172" s="1">
        <v>1.055418934510773</v>
      </c>
      <c r="E172" s="7">
        <v>2001.9166666666665</v>
      </c>
      <c r="F172" s="1">
        <v>0.98098903812185334</v>
      </c>
      <c r="G172" s="7">
        <v>2001.9166666666665</v>
      </c>
      <c r="H172" s="1">
        <v>1.0251992376356329</v>
      </c>
      <c r="I172" s="7">
        <v>2001.9166666666665</v>
      </c>
      <c r="J172" s="1">
        <v>1.0585739873501328</v>
      </c>
      <c r="L172" s="1">
        <f t="shared" si="21"/>
        <v>1.0300452994045979</v>
      </c>
      <c r="M172" s="1"/>
      <c r="N172" s="1"/>
      <c r="Q172" s="7">
        <f t="shared" si="22"/>
        <v>1.513959609863567</v>
      </c>
      <c r="R172" s="7">
        <f t="shared" si="23"/>
        <v>-0.48920384796011396</v>
      </c>
      <c r="S172" s="7">
        <f t="shared" si="27"/>
        <v>-0.18800892421638518</v>
      </c>
      <c r="T172" s="7">
        <f t="shared" si="24"/>
        <v>1.0623385290325118</v>
      </c>
      <c r="V172" s="7">
        <f t="shared" si="25"/>
        <v>0.47477134167989493</v>
      </c>
      <c r="AF172" s="7">
        <f t="shared" si="26"/>
        <v>0.39667395654532428</v>
      </c>
    </row>
    <row r="173" spans="1:32" x14ac:dyDescent="0.35">
      <c r="A173" t="s">
        <v>35</v>
      </c>
      <c r="B173">
        <v>2001</v>
      </c>
      <c r="C173" s="7">
        <v>2001.8333333333333</v>
      </c>
      <c r="D173" s="1">
        <v>1.0469073611339319</v>
      </c>
      <c r="E173" s="7">
        <v>2001.8333333333333</v>
      </c>
      <c r="F173" s="1">
        <v>0.97739531063641949</v>
      </c>
      <c r="G173" s="7">
        <v>2001.8333333333333</v>
      </c>
      <c r="H173" s="1">
        <v>1.0290764606009195</v>
      </c>
      <c r="I173" s="7">
        <v>2001.8333333333333</v>
      </c>
      <c r="J173" s="1">
        <v>1.0452584055445711</v>
      </c>
      <c r="L173" s="1">
        <f t="shared" si="21"/>
        <v>1.0246593844789604</v>
      </c>
      <c r="M173" s="1"/>
      <c r="N173" s="1"/>
      <c r="Q173" s="7">
        <f t="shared" si="22"/>
        <v>1.2282425063565561</v>
      </c>
      <c r="R173" s="7">
        <f t="shared" si="23"/>
        <v>-0.59989043228192751</v>
      </c>
      <c r="S173" s="7">
        <f t="shared" si="27"/>
        <v>-7.9445402102783058E-2</v>
      </c>
      <c r="T173" s="7">
        <f t="shared" si="24"/>
        <v>0.64622092438134349</v>
      </c>
      <c r="V173" s="7">
        <f t="shared" si="25"/>
        <v>0.29878189908829722</v>
      </c>
      <c r="AF173" s="7">
        <f t="shared" si="26"/>
        <v>0.21589388473356771</v>
      </c>
    </row>
    <row r="174" spans="1:32" x14ac:dyDescent="0.35">
      <c r="A174" t="s">
        <v>37</v>
      </c>
      <c r="B174">
        <v>2001</v>
      </c>
      <c r="C174" s="7">
        <v>2001.75</v>
      </c>
      <c r="D174" s="1">
        <v>1.0428950737983951</v>
      </c>
      <c r="E174" s="7">
        <v>2001.75</v>
      </c>
      <c r="F174" s="1">
        <v>0.97418287124163716</v>
      </c>
      <c r="G174" s="7">
        <v>2001.75</v>
      </c>
      <c r="H174" s="1">
        <v>1.0226528756294289</v>
      </c>
      <c r="I174" s="7">
        <v>2001.75</v>
      </c>
      <c r="J174" s="1">
        <v>1.0334281954273936</v>
      </c>
      <c r="L174" s="1">
        <f t="shared" si="21"/>
        <v>1.0182897540242137</v>
      </c>
      <c r="M174" s="1"/>
      <c r="N174" s="1"/>
      <c r="Q174" s="7">
        <f t="shared" si="22"/>
        <v>1.0935577582855824</v>
      </c>
      <c r="R174" s="7">
        <f t="shared" si="23"/>
        <v>-0.69883336698983378</v>
      </c>
      <c r="S174" s="7">
        <f t="shared" si="27"/>
        <v>-0.25930790042817431</v>
      </c>
      <c r="T174" s="7">
        <f t="shared" si="24"/>
        <v>0.27652181784859381</v>
      </c>
      <c r="V174" s="7">
        <f t="shared" si="25"/>
        <v>0.10298457717904204</v>
      </c>
      <c r="AF174" s="7">
        <f t="shared" si="26"/>
        <v>2.0950656058826554E-3</v>
      </c>
    </row>
    <row r="175" spans="1:32" x14ac:dyDescent="0.35">
      <c r="A175" t="s">
        <v>39</v>
      </c>
      <c r="B175">
        <v>2001</v>
      </c>
      <c r="C175" s="7">
        <v>2001.6666666666665</v>
      </c>
      <c r="D175" s="1">
        <v>1.0256850931459853</v>
      </c>
      <c r="E175" s="7">
        <v>2001.6666666666665</v>
      </c>
      <c r="F175" s="1">
        <v>0.96618037208028196</v>
      </c>
      <c r="G175" s="7">
        <v>2001.6666666666665</v>
      </c>
      <c r="H175" s="1">
        <v>1.0106202065994061</v>
      </c>
      <c r="I175" s="7">
        <v>2001.6666666666665</v>
      </c>
      <c r="J175" s="1">
        <v>1.0282030699812674</v>
      </c>
      <c r="L175" s="1">
        <f t="shared" si="21"/>
        <v>1.0076721854517352</v>
      </c>
      <c r="M175" s="1"/>
      <c r="N175" s="1"/>
      <c r="Q175" s="7">
        <f t="shared" si="22"/>
        <v>0.51585189760449257</v>
      </c>
      <c r="R175" s="7">
        <f t="shared" si="23"/>
        <v>-0.94530984629963055</v>
      </c>
      <c r="S175" s="7">
        <f t="shared" si="27"/>
        <v>-0.59622660281442585</v>
      </c>
      <c r="T175" s="7">
        <f t="shared" si="24"/>
        <v>0.11323442144389877</v>
      </c>
      <c r="V175" s="7">
        <f t="shared" si="25"/>
        <v>-0.22811253251641628</v>
      </c>
      <c r="AF175" s="7">
        <f t="shared" si="26"/>
        <v>-0.35428724557066149</v>
      </c>
    </row>
    <row r="176" spans="1:32" x14ac:dyDescent="0.35">
      <c r="A176" t="s">
        <v>41</v>
      </c>
      <c r="B176">
        <v>2001</v>
      </c>
      <c r="C176" s="7">
        <v>2001.5833333333333</v>
      </c>
      <c r="D176" s="1">
        <v>1.0076653585828752</v>
      </c>
      <c r="E176" s="7">
        <v>2001.5833333333333</v>
      </c>
      <c r="F176" s="1">
        <v>0.95980171923218571</v>
      </c>
      <c r="G176" s="7">
        <v>2001.5833333333333</v>
      </c>
      <c r="H176" s="1">
        <v>1.0102546903215701</v>
      </c>
      <c r="I176" s="7">
        <v>2001.5833333333333</v>
      </c>
      <c r="J176" s="1">
        <v>1.0197896880395201</v>
      </c>
      <c r="L176" s="1">
        <f t="shared" si="21"/>
        <v>0.99937786404403783</v>
      </c>
      <c r="M176" s="1"/>
      <c r="N176" s="1"/>
      <c r="Q176" s="7">
        <f t="shared" si="22"/>
        <v>-8.9035840230859906E-2</v>
      </c>
      <c r="R176" s="7">
        <f t="shared" si="23"/>
        <v>-1.1417719595767437</v>
      </c>
      <c r="S176" s="7">
        <f t="shared" si="27"/>
        <v>-0.60646117917668452</v>
      </c>
      <c r="T176" s="7">
        <f t="shared" si="24"/>
        <v>-0.14968734883526474</v>
      </c>
      <c r="V176" s="7">
        <f t="shared" si="25"/>
        <v>-0.49673908195488825</v>
      </c>
      <c r="AF176" s="7">
        <f t="shared" si="26"/>
        <v>-0.63268897311667427</v>
      </c>
    </row>
    <row r="177" spans="1:32" x14ac:dyDescent="0.35">
      <c r="A177" t="s">
        <v>43</v>
      </c>
      <c r="B177">
        <v>2001</v>
      </c>
      <c r="C177" s="7">
        <v>2001.5</v>
      </c>
      <c r="D177" s="1">
        <v>0.9911300041480543</v>
      </c>
      <c r="E177" s="7">
        <v>2001.5</v>
      </c>
      <c r="F177" s="1">
        <v>0.95027277109330643</v>
      </c>
      <c r="G177" s="7">
        <v>2001.5</v>
      </c>
      <c r="H177" s="1">
        <v>1.0040971824607809</v>
      </c>
      <c r="I177" s="7">
        <v>2001.5</v>
      </c>
      <c r="J177" s="1">
        <v>1.0121378652414499</v>
      </c>
      <c r="L177" s="1">
        <f t="shared" si="21"/>
        <v>0.98940945573589789</v>
      </c>
      <c r="M177" s="1"/>
      <c r="N177" s="1"/>
      <c r="Q177" s="7">
        <f t="shared" si="22"/>
        <v>-0.64409579981875931</v>
      </c>
      <c r="R177" s="7">
        <f t="shared" si="23"/>
        <v>-1.435262973001463</v>
      </c>
      <c r="S177" s="7">
        <f t="shared" si="27"/>
        <v>-0.77887343062430092</v>
      </c>
      <c r="T177" s="7">
        <f t="shared" si="24"/>
        <v>-0.38881007140516732</v>
      </c>
      <c r="V177" s="7">
        <f t="shared" si="25"/>
        <v>-0.81176056871242264</v>
      </c>
      <c r="AF177" s="7">
        <f t="shared" si="26"/>
        <v>-0.96728199856836461</v>
      </c>
    </row>
    <row r="178" spans="1:32" x14ac:dyDescent="0.35">
      <c r="A178" t="s">
        <v>44</v>
      </c>
      <c r="B178">
        <v>2001</v>
      </c>
      <c r="C178" s="7">
        <v>2001.4166666666665</v>
      </c>
      <c r="D178" s="1">
        <v>0.96971283260284014</v>
      </c>
      <c r="E178" s="7">
        <v>2001.4166666666665</v>
      </c>
      <c r="F178" s="1">
        <v>0.94373141080089318</v>
      </c>
      <c r="G178" s="7">
        <v>2001.4166666666665</v>
      </c>
      <c r="H178" s="1">
        <v>0.99051985069212767</v>
      </c>
      <c r="I178" s="7">
        <v>2001.4166666666665</v>
      </c>
      <c r="J178" s="1">
        <v>1.0074387795464219</v>
      </c>
      <c r="L178" s="1">
        <f t="shared" si="21"/>
        <v>0.9778507184105707</v>
      </c>
      <c r="M178" s="1"/>
      <c r="N178" s="1"/>
      <c r="Q178" s="7">
        <f t="shared" si="22"/>
        <v>-1.3630289451125659</v>
      </c>
      <c r="R178" s="7">
        <f t="shared" si="23"/>
        <v>-1.6367364655020089</v>
      </c>
      <c r="S178" s="7">
        <f t="shared" si="27"/>
        <v>-1.1590431992723496</v>
      </c>
      <c r="T178" s="7">
        <f t="shared" si="24"/>
        <v>-0.5356585014639188</v>
      </c>
      <c r="V178" s="7">
        <f t="shared" si="25"/>
        <v>-1.1736167778377109</v>
      </c>
      <c r="AF178" s="7">
        <f t="shared" si="26"/>
        <v>-1.3552549600013879</v>
      </c>
    </row>
    <row r="179" spans="1:32" x14ac:dyDescent="0.35">
      <c r="A179" t="s">
        <v>42</v>
      </c>
      <c r="B179">
        <v>2001</v>
      </c>
      <c r="C179" s="7">
        <v>2001.3333333333333</v>
      </c>
      <c r="D179" s="1">
        <v>0.95894447625175472</v>
      </c>
      <c r="E179" s="7">
        <v>2001.3333333333333</v>
      </c>
      <c r="F179" s="1">
        <v>0.93628343106525269</v>
      </c>
      <c r="G179" s="7">
        <v>2001.3333333333333</v>
      </c>
      <c r="H179" s="1">
        <v>0.97909242484314607</v>
      </c>
      <c r="I179" s="7">
        <v>2001.3333333333333</v>
      </c>
      <c r="J179" s="1">
        <v>1.0062697400079654</v>
      </c>
      <c r="L179" s="1">
        <f t="shared" si="21"/>
        <v>0.97014751804202981</v>
      </c>
      <c r="M179" s="1"/>
      <c r="N179" s="1"/>
      <c r="Q179" s="7">
        <f t="shared" si="22"/>
        <v>-1.7245019008101321</v>
      </c>
      <c r="R179" s="7">
        <f t="shared" si="23"/>
        <v>-1.8661337807902616</v>
      </c>
      <c r="S179" s="7">
        <f t="shared" si="27"/>
        <v>-1.4790148929213278</v>
      </c>
      <c r="T179" s="7">
        <f t="shared" si="24"/>
        <v>-0.57219148512084284</v>
      </c>
      <c r="V179" s="7">
        <f t="shared" si="25"/>
        <v>-1.4104605149106413</v>
      </c>
      <c r="AF179" s="7">
        <f t="shared" si="26"/>
        <v>-1.6138155082150885</v>
      </c>
    </row>
    <row r="180" spans="1:32" x14ac:dyDescent="0.35">
      <c r="A180" t="s">
        <v>40</v>
      </c>
      <c r="B180">
        <v>2001</v>
      </c>
      <c r="C180" s="7">
        <v>2001.25</v>
      </c>
      <c r="D180" s="1">
        <v>0.95295497013505359</v>
      </c>
      <c r="E180" s="7">
        <v>2001.25</v>
      </c>
      <c r="F180" s="1">
        <v>0.93214409456469305</v>
      </c>
      <c r="G180" s="7">
        <v>2001.25</v>
      </c>
      <c r="H180" s="1">
        <v>0.97325608456434298</v>
      </c>
      <c r="I180" s="7">
        <v>2001.25</v>
      </c>
      <c r="J180" s="1">
        <v>0.99691382166593334</v>
      </c>
      <c r="L180" s="1">
        <f t="shared" si="21"/>
        <v>0.96381724273250569</v>
      </c>
      <c r="M180" s="1"/>
      <c r="N180" s="1"/>
      <c r="Q180" s="7">
        <f t="shared" si="22"/>
        <v>-1.9255580702555626</v>
      </c>
      <c r="R180" s="7">
        <f t="shared" si="23"/>
        <v>-1.9936250890384837</v>
      </c>
      <c r="S180" s="7">
        <f t="shared" si="27"/>
        <v>-1.642434346121</v>
      </c>
      <c r="T180" s="7">
        <f t="shared" si="24"/>
        <v>-0.86456791948529654</v>
      </c>
      <c r="V180" s="7">
        <f t="shared" si="25"/>
        <v>-1.6065463562250859</v>
      </c>
      <c r="AF180" s="7">
        <f t="shared" si="26"/>
        <v>-1.8262933584678971</v>
      </c>
    </row>
    <row r="181" spans="1:32" x14ac:dyDescent="0.35">
      <c r="A181" t="s">
        <v>38</v>
      </c>
      <c r="B181">
        <v>2001</v>
      </c>
      <c r="C181" s="7">
        <v>2001.1666666666665</v>
      </c>
      <c r="D181" s="1">
        <v>0.96238685136605251</v>
      </c>
      <c r="E181" s="7">
        <v>2001.1666666666665</v>
      </c>
      <c r="F181" s="1">
        <v>0.93353715570989881</v>
      </c>
      <c r="G181" s="7">
        <v>2001.1666666666665</v>
      </c>
      <c r="H181" s="1">
        <v>0.97525995642343877</v>
      </c>
      <c r="I181" s="7">
        <v>2001.1666666666665</v>
      </c>
      <c r="J181" s="1">
        <v>1.005693047969346</v>
      </c>
      <c r="L181" s="1">
        <f t="shared" si="21"/>
        <v>0.96921925286718391</v>
      </c>
      <c r="M181" s="1"/>
      <c r="N181" s="1"/>
      <c r="Q181" s="7">
        <f t="shared" si="22"/>
        <v>-1.6089480069180948</v>
      </c>
      <c r="R181" s="7">
        <f t="shared" si="23"/>
        <v>-1.950718891910505</v>
      </c>
      <c r="S181" s="7">
        <f t="shared" si="27"/>
        <v>-1.586325272994304</v>
      </c>
      <c r="T181" s="7">
        <f t="shared" si="24"/>
        <v>-0.59021335703270206</v>
      </c>
      <c r="V181" s="7">
        <f t="shared" si="25"/>
        <v>-1.4340513822139016</v>
      </c>
      <c r="AF181" s="7">
        <f t="shared" si="26"/>
        <v>-1.6449730454740219</v>
      </c>
    </row>
    <row r="182" spans="1:32" x14ac:dyDescent="0.35">
      <c r="A182" t="s">
        <v>36</v>
      </c>
      <c r="B182">
        <v>2001</v>
      </c>
      <c r="C182" s="7">
        <v>2001.0833333333333</v>
      </c>
      <c r="D182" s="1">
        <v>0.99083905656516658</v>
      </c>
      <c r="E182" s="7">
        <v>2001.0833333333333</v>
      </c>
      <c r="F182" s="1">
        <v>0.95508876736660187</v>
      </c>
      <c r="G182" s="7">
        <v>2001.0833333333333</v>
      </c>
      <c r="H182" s="1">
        <v>0.99426506516882363</v>
      </c>
      <c r="I182" s="7">
        <v>2001.0833333333333</v>
      </c>
      <c r="J182" s="1">
        <v>1.0330268988582387</v>
      </c>
      <c r="L182" s="1">
        <f t="shared" si="21"/>
        <v>0.99330494698970773</v>
      </c>
      <c r="M182" s="1"/>
      <c r="N182" s="1"/>
      <c r="Q182" s="7">
        <f t="shared" si="22"/>
        <v>-0.65386234907758722</v>
      </c>
      <c r="R182" s="7">
        <f t="shared" si="23"/>
        <v>-1.2869305855963842</v>
      </c>
      <c r="S182" s="7">
        <f t="shared" si="27"/>
        <v>-1.0541759583885355</v>
      </c>
      <c r="T182" s="7">
        <f t="shared" si="24"/>
        <v>0.26398112908637128</v>
      </c>
      <c r="V182" s="7">
        <f t="shared" si="25"/>
        <v>-0.68274694099403388</v>
      </c>
      <c r="AF182" s="7">
        <f t="shared" si="26"/>
        <v>-0.83652850573957416</v>
      </c>
    </row>
    <row r="183" spans="1:32" x14ac:dyDescent="0.35">
      <c r="A183" t="s">
        <v>34</v>
      </c>
      <c r="B183">
        <v>2001</v>
      </c>
      <c r="C183" s="7">
        <v>2001</v>
      </c>
      <c r="D183" s="1">
        <v>1.0390155936455117</v>
      </c>
      <c r="E183" s="7">
        <v>2001</v>
      </c>
      <c r="F183" s="1">
        <v>0.9830272941841377</v>
      </c>
      <c r="G183" s="7">
        <v>2001</v>
      </c>
      <c r="H183" s="1">
        <v>1.0300753606764497</v>
      </c>
      <c r="I183" s="7">
        <v>2001</v>
      </c>
      <c r="J183" s="1">
        <v>1.042642431453656</v>
      </c>
      <c r="L183" s="1">
        <f t="shared" si="21"/>
        <v>1.0236901699899388</v>
      </c>
      <c r="M183" s="1"/>
      <c r="N183" s="1"/>
      <c r="Q183" s="7">
        <f t="shared" si="22"/>
        <v>0.96333109121475646</v>
      </c>
      <c r="R183" s="7">
        <f t="shared" si="23"/>
        <v>-0.42642568728379077</v>
      </c>
      <c r="S183" s="7">
        <f t="shared" si="27"/>
        <v>-5.1475870453451679E-2</v>
      </c>
      <c r="T183" s="7">
        <f t="shared" si="24"/>
        <v>0.56447061948017663</v>
      </c>
      <c r="V183" s="7">
        <f t="shared" si="25"/>
        <v>0.26247503823942264</v>
      </c>
      <c r="AF183" s="7">
        <f t="shared" si="26"/>
        <v>0.18336186977501509</v>
      </c>
    </row>
    <row r="184" spans="1:32" x14ac:dyDescent="0.35">
      <c r="A184" t="s">
        <v>33</v>
      </c>
      <c r="B184">
        <v>2000</v>
      </c>
      <c r="C184" s="7">
        <v>2000.9166666666665</v>
      </c>
      <c r="D184" s="1">
        <v>1.0638731748869219</v>
      </c>
      <c r="E184" s="7">
        <v>2000.9166666666665</v>
      </c>
      <c r="F184" s="1">
        <v>0.99769414089426856</v>
      </c>
      <c r="G184" s="7">
        <v>2000.9166666666665</v>
      </c>
      <c r="H184" s="1">
        <v>1.039725341452983</v>
      </c>
      <c r="I184" s="7">
        <v>2000.9166666666665</v>
      </c>
      <c r="J184" s="1">
        <v>1.0515694238398998</v>
      </c>
      <c r="L184" s="1">
        <f t="shared" si="21"/>
        <v>1.0382155202685184</v>
      </c>
      <c r="M184" s="1"/>
      <c r="N184" s="1"/>
      <c r="Q184" s="7">
        <f t="shared" si="22"/>
        <v>1.7977521551052771</v>
      </c>
      <c r="R184" s="7">
        <f t="shared" si="23"/>
        <v>2.5312284417206104E-2</v>
      </c>
      <c r="S184" s="7">
        <f t="shared" si="27"/>
        <v>0.21872677479255784</v>
      </c>
      <c r="T184" s="7">
        <f t="shared" si="24"/>
        <v>0.84344293497835821</v>
      </c>
      <c r="V184" s="7">
        <f t="shared" si="25"/>
        <v>0.72130853732334976</v>
      </c>
      <c r="AF184" s="7">
        <f t="shared" si="26"/>
        <v>0.6709102070042281</v>
      </c>
    </row>
    <row r="185" spans="1:32" x14ac:dyDescent="0.35">
      <c r="A185" t="s">
        <v>35</v>
      </c>
      <c r="B185">
        <v>2000</v>
      </c>
      <c r="C185" s="7">
        <v>2000.8333333333333</v>
      </c>
      <c r="D185" s="1">
        <v>1.0620304585726403</v>
      </c>
      <c r="E185" s="7">
        <v>2000.8333333333333</v>
      </c>
      <c r="F185" s="1">
        <v>0.98578472859809962</v>
      </c>
      <c r="G185" s="7">
        <v>2000.8333333333333</v>
      </c>
      <c r="H185" s="1">
        <v>1.0382682086817687</v>
      </c>
      <c r="I185" s="7">
        <v>2000.8333333333333</v>
      </c>
      <c r="J185" s="1">
        <v>1.0535809148482456</v>
      </c>
      <c r="L185" s="1">
        <f t="shared" si="21"/>
        <v>1.0349160776751887</v>
      </c>
      <c r="M185" s="1"/>
      <c r="N185" s="1"/>
      <c r="Q185" s="7">
        <f t="shared" si="22"/>
        <v>1.7358957221531541</v>
      </c>
      <c r="R185" s="7">
        <f t="shared" si="23"/>
        <v>-0.34149687784847532</v>
      </c>
      <c r="S185" s="7">
        <f t="shared" si="27"/>
        <v>0.17792657649431948</v>
      </c>
      <c r="T185" s="7">
        <f t="shared" si="24"/>
        <v>0.90630288600359898</v>
      </c>
      <c r="V185" s="7">
        <f t="shared" si="25"/>
        <v>0.61965707670064929</v>
      </c>
      <c r="AF185" s="7">
        <f t="shared" si="26"/>
        <v>0.56016329079846994</v>
      </c>
    </row>
    <row r="186" spans="1:32" x14ac:dyDescent="0.35">
      <c r="A186" t="s">
        <v>37</v>
      </c>
      <c r="B186">
        <v>2000</v>
      </c>
      <c r="C186" s="7">
        <v>2000.75</v>
      </c>
      <c r="D186" s="1">
        <v>1.0686870333683784</v>
      </c>
      <c r="E186" s="7">
        <v>2000.75</v>
      </c>
      <c r="F186" s="1">
        <v>0.97880182763755685</v>
      </c>
      <c r="G186" s="7">
        <v>2000.75</v>
      </c>
      <c r="H186" s="1">
        <v>1.0366518637359228</v>
      </c>
      <c r="I186" s="7">
        <v>2000.75</v>
      </c>
      <c r="J186" s="1">
        <v>1.0383609280083903</v>
      </c>
      <c r="L186" s="1">
        <f t="shared" si="21"/>
        <v>1.0306254131875621</v>
      </c>
      <c r="M186" s="1"/>
      <c r="N186" s="1"/>
      <c r="Q186" s="7">
        <f t="shared" si="22"/>
        <v>1.9593441006974659</v>
      </c>
      <c r="R186" s="7">
        <f t="shared" si="23"/>
        <v>-0.55656979562334108</v>
      </c>
      <c r="S186" s="7">
        <f t="shared" si="27"/>
        <v>0.13266838478272019</v>
      </c>
      <c r="T186" s="7">
        <f t="shared" si="24"/>
        <v>0.43067181264129478</v>
      </c>
      <c r="V186" s="7">
        <f t="shared" si="25"/>
        <v>0.49152862562453492</v>
      </c>
      <c r="AF186" s="7">
        <f t="shared" si="26"/>
        <v>0.41614567356856397</v>
      </c>
    </row>
    <row r="187" spans="1:32" x14ac:dyDescent="0.35">
      <c r="A187" t="s">
        <v>39</v>
      </c>
      <c r="B187">
        <v>2000</v>
      </c>
      <c r="C187" s="7">
        <v>2000.6666666666665</v>
      </c>
      <c r="D187" s="1">
        <v>1.0711847130463492</v>
      </c>
      <c r="E187" s="7">
        <v>2000.6666666666665</v>
      </c>
      <c r="F187" s="1">
        <v>0.97699574946027423</v>
      </c>
      <c r="G187" s="7">
        <v>2000.6666666666665</v>
      </c>
      <c r="H187" s="1">
        <v>1.0126793885318324</v>
      </c>
      <c r="I187" s="7">
        <v>2000.6666666666665</v>
      </c>
      <c r="J187" s="1">
        <v>1.0350363760141175</v>
      </c>
      <c r="L187" s="1">
        <f t="shared" si="21"/>
        <v>1.0239740567631435</v>
      </c>
      <c r="M187" s="1"/>
      <c r="N187" s="1"/>
      <c r="Q187" s="7">
        <f t="shared" si="22"/>
        <v>2.0431863906576075</v>
      </c>
      <c r="R187" s="7">
        <f t="shared" si="23"/>
        <v>-0.61219689179906744</v>
      </c>
      <c r="S187" s="7">
        <f t="shared" si="27"/>
        <v>-0.53856882938782968</v>
      </c>
      <c r="T187" s="7">
        <f t="shared" si="24"/>
        <v>0.32677814636399743</v>
      </c>
      <c r="V187" s="7">
        <f t="shared" si="25"/>
        <v>0.30479970395867695</v>
      </c>
      <c r="AF187" s="7">
        <f t="shared" si="26"/>
        <v>0.1928906261618003</v>
      </c>
    </row>
    <row r="188" spans="1:32" x14ac:dyDescent="0.35">
      <c r="A188" t="s">
        <v>41</v>
      </c>
      <c r="B188">
        <v>2000</v>
      </c>
      <c r="C188" s="7">
        <v>2000.5833333333333</v>
      </c>
      <c r="D188" s="1">
        <v>1.072715861461444</v>
      </c>
      <c r="E188" s="7">
        <v>2000.5833333333333</v>
      </c>
      <c r="F188" s="1">
        <v>0.96169688562192701</v>
      </c>
      <c r="G188" s="7">
        <v>2000.5833333333333</v>
      </c>
      <c r="H188" s="1">
        <v>1.0003027372629056</v>
      </c>
      <c r="I188" s="7">
        <v>2000.5833333333333</v>
      </c>
      <c r="J188" s="1">
        <v>1.0142785773758283</v>
      </c>
      <c r="L188" s="1">
        <f t="shared" si="21"/>
        <v>1.0122485154305261</v>
      </c>
      <c r="M188" s="1"/>
      <c r="N188" s="1"/>
      <c r="Q188" s="7">
        <f t="shared" si="22"/>
        <v>2.0945840900994712</v>
      </c>
      <c r="R188" s="7">
        <f t="shared" si="23"/>
        <v>-1.0834009519663426</v>
      </c>
      <c r="S188" s="7">
        <f t="shared" si="27"/>
        <v>-0.88511914794222124</v>
      </c>
      <c r="T188" s="7">
        <f t="shared" si="24"/>
        <v>-0.32191190513554496</v>
      </c>
      <c r="V188" s="7">
        <f t="shared" si="25"/>
        <v>-4.8961978736159387E-2</v>
      </c>
      <c r="AF188" s="7">
        <f t="shared" si="26"/>
        <v>-0.20068116867887092</v>
      </c>
    </row>
    <row r="189" spans="1:32" x14ac:dyDescent="0.35">
      <c r="A189" t="s">
        <v>43</v>
      </c>
      <c r="B189">
        <v>2000</v>
      </c>
      <c r="C189" s="7">
        <v>2000.5</v>
      </c>
      <c r="D189" s="1">
        <v>1.0372894146156426</v>
      </c>
      <c r="E189" s="7">
        <v>2000.5</v>
      </c>
      <c r="F189" s="1">
        <v>0.95026816664731839</v>
      </c>
      <c r="G189" s="7">
        <v>2000.5</v>
      </c>
      <c r="H189" s="1">
        <v>0.99233416535410668</v>
      </c>
      <c r="I189" s="7">
        <v>2000.5</v>
      </c>
      <c r="J189" s="1">
        <v>0.9989066641860983</v>
      </c>
      <c r="L189" s="1">
        <f t="shared" si="21"/>
        <v>0.99469960270079161</v>
      </c>
      <c r="M189" s="1"/>
      <c r="N189" s="1"/>
      <c r="Q189" s="7">
        <f t="shared" si="22"/>
        <v>0.90538659015568568</v>
      </c>
      <c r="R189" s="7">
        <f t="shared" si="23"/>
        <v>-1.4354047896531643</v>
      </c>
      <c r="S189" s="7">
        <f t="shared" si="27"/>
        <v>-1.10824179019934</v>
      </c>
      <c r="T189" s="7">
        <f t="shared" si="24"/>
        <v>-0.80229074166106695</v>
      </c>
      <c r="V189" s="7">
        <f t="shared" si="25"/>
        <v>-0.61013768283947134</v>
      </c>
      <c r="AF189" s="7">
        <f t="shared" si="26"/>
        <v>-0.78971641102892842</v>
      </c>
    </row>
    <row r="190" spans="1:32" x14ac:dyDescent="0.35">
      <c r="A190" t="s">
        <v>44</v>
      </c>
      <c r="B190">
        <v>2000</v>
      </c>
      <c r="C190" s="7">
        <v>2000.4166666666665</v>
      </c>
      <c r="D190" s="1">
        <v>1.0006896118874484</v>
      </c>
      <c r="E190" s="7">
        <v>2000.4166666666665</v>
      </c>
      <c r="F190" s="1">
        <v>0.94430433373287082</v>
      </c>
      <c r="G190" s="7">
        <v>2000.4166666666665</v>
      </c>
      <c r="H190" s="1">
        <v>0.98156850334113233</v>
      </c>
      <c r="I190" s="7">
        <v>2000.4166666666665</v>
      </c>
      <c r="J190" s="1">
        <v>0.99767512882286757</v>
      </c>
      <c r="L190" s="1">
        <f t="shared" si="21"/>
        <v>0.98105939444607981</v>
      </c>
      <c r="M190" s="1"/>
      <c r="N190" s="1"/>
      <c r="Q190" s="7">
        <f t="shared" si="22"/>
        <v>-0.32319820391780119</v>
      </c>
      <c r="R190" s="7">
        <f t="shared" si="23"/>
        <v>-1.6190904746256063</v>
      </c>
      <c r="S190" s="7">
        <f t="shared" si="27"/>
        <v>-1.4096838781259802</v>
      </c>
      <c r="T190" s="7">
        <f t="shared" si="24"/>
        <v>-0.84077674646911305</v>
      </c>
      <c r="V190" s="7">
        <f t="shared" si="25"/>
        <v>-1.0481873257846253</v>
      </c>
      <c r="AF190" s="7">
        <f t="shared" si="26"/>
        <v>-1.2475546542726732</v>
      </c>
    </row>
    <row r="191" spans="1:32" x14ac:dyDescent="0.35">
      <c r="A191" t="s">
        <v>42</v>
      </c>
      <c r="B191">
        <v>2000</v>
      </c>
      <c r="C191" s="7">
        <v>2000.3333333333333</v>
      </c>
      <c r="D191" s="1">
        <v>0.97791906591013278</v>
      </c>
      <c r="E191" s="7">
        <v>2000.3333333333333</v>
      </c>
      <c r="F191" s="1">
        <v>0.94081173680562513</v>
      </c>
      <c r="G191" s="7">
        <v>2000.3333333333333</v>
      </c>
      <c r="H191" s="1">
        <v>0.96972705242833546</v>
      </c>
      <c r="I191" s="7">
        <v>2000.3333333333333</v>
      </c>
      <c r="J191" s="1">
        <v>0.98977200640883367</v>
      </c>
      <c r="L191" s="1">
        <f t="shared" si="21"/>
        <v>0.96955746538823173</v>
      </c>
      <c r="M191" s="1"/>
      <c r="N191" s="1"/>
      <c r="Q191" s="7">
        <f t="shared" si="22"/>
        <v>-1.08756151888536</v>
      </c>
      <c r="R191" s="7">
        <f t="shared" si="23"/>
        <v>-1.7266622440089532</v>
      </c>
      <c r="S191" s="7">
        <f t="shared" si="27"/>
        <v>-1.7412484101475569</v>
      </c>
      <c r="T191" s="7">
        <f t="shared" si="24"/>
        <v>-1.087752689106418</v>
      </c>
      <c r="V191" s="7">
        <f t="shared" si="25"/>
        <v>-1.4108062155370722</v>
      </c>
      <c r="AF191" s="7">
        <f t="shared" si="26"/>
        <v>-1.6336208268283803</v>
      </c>
    </row>
    <row r="192" spans="1:32" x14ac:dyDescent="0.35">
      <c r="A192" t="s">
        <v>40</v>
      </c>
      <c r="B192">
        <v>2000</v>
      </c>
      <c r="C192" s="7">
        <v>2000.25</v>
      </c>
      <c r="D192" s="1">
        <v>0.95908963221121268</v>
      </c>
      <c r="E192" s="7">
        <v>2000.25</v>
      </c>
      <c r="F192" s="1">
        <v>0.93317884479411839</v>
      </c>
      <c r="G192" s="7">
        <v>2000.25</v>
      </c>
      <c r="H192" s="1">
        <v>0.96185362532548024</v>
      </c>
      <c r="I192" s="7">
        <v>2000.25</v>
      </c>
      <c r="J192" s="1">
        <v>0.99090224880530253</v>
      </c>
      <c r="L192" s="1">
        <f t="shared" si="21"/>
        <v>0.96125608778402838</v>
      </c>
      <c r="M192" s="1"/>
      <c r="N192" s="1"/>
      <c r="Q192" s="7">
        <f t="shared" si="22"/>
        <v>-1.7196292951875387</v>
      </c>
      <c r="R192" s="7">
        <f t="shared" si="23"/>
        <v>-1.9617548459592491</v>
      </c>
      <c r="S192" s="7">
        <f t="shared" si="27"/>
        <v>-1.9617069664502316</v>
      </c>
      <c r="T192" s="7">
        <f t="shared" si="24"/>
        <v>-1.05243213266649</v>
      </c>
      <c r="V192" s="7">
        <f t="shared" si="25"/>
        <v>-1.6738808100658773</v>
      </c>
      <c r="AF192" s="7">
        <f t="shared" si="26"/>
        <v>-1.9122593980172433</v>
      </c>
    </row>
    <row r="193" spans="1:32" x14ac:dyDescent="0.35">
      <c r="A193" t="s">
        <v>38</v>
      </c>
      <c r="B193">
        <v>2000</v>
      </c>
      <c r="C193" s="7">
        <v>2000.1666666666665</v>
      </c>
      <c r="D193" s="1">
        <v>0.96626263899626097</v>
      </c>
      <c r="E193" s="7">
        <v>2000.1666666666665</v>
      </c>
      <c r="F193" s="1">
        <v>0.9427415488801929</v>
      </c>
      <c r="G193" s="7">
        <v>2000.1666666666665</v>
      </c>
      <c r="H193" s="1">
        <v>0.96857761338351267</v>
      </c>
      <c r="I193" s="7">
        <v>2000.1666666666665</v>
      </c>
      <c r="J193" s="1">
        <v>0.99851185922562991</v>
      </c>
      <c r="L193" s="1">
        <f t="shared" si="21"/>
        <v>0.96902341512139911</v>
      </c>
      <c r="M193" s="1"/>
      <c r="N193" s="1"/>
      <c r="Q193" s="7">
        <f t="shared" si="22"/>
        <v>-1.4788452907123573</v>
      </c>
      <c r="R193" s="7">
        <f t="shared" si="23"/>
        <v>-1.6672241514483226</v>
      </c>
      <c r="S193" s="7">
        <f t="shared" si="27"/>
        <v>-1.7734330825994886</v>
      </c>
      <c r="T193" s="7">
        <f t="shared" si="24"/>
        <v>-0.81462856488602664</v>
      </c>
      <c r="V193" s="7">
        <f t="shared" si="25"/>
        <v>-1.4335327724115488</v>
      </c>
      <c r="AF193" s="7">
        <f t="shared" si="26"/>
        <v>-1.6515464062187124</v>
      </c>
    </row>
    <row r="194" spans="1:32" x14ac:dyDescent="0.35">
      <c r="A194" t="s">
        <v>36</v>
      </c>
      <c r="B194">
        <v>2000</v>
      </c>
      <c r="C194" s="7">
        <v>2000.0833333333333</v>
      </c>
      <c r="D194" s="1">
        <v>0.99788765014590741</v>
      </c>
      <c r="E194" s="7">
        <v>2000.0833333333333</v>
      </c>
      <c r="F194" s="1">
        <v>0.98766147907736102</v>
      </c>
      <c r="G194" s="7">
        <v>2000.0833333333333</v>
      </c>
      <c r="H194" s="1">
        <v>1.0150088085240156</v>
      </c>
      <c r="I194" s="7">
        <v>2000.0833333333333</v>
      </c>
      <c r="J194" s="1">
        <v>1.0311032650156458</v>
      </c>
      <c r="L194" s="1">
        <f t="shared" si="21"/>
        <v>1.0079153006907324</v>
      </c>
      <c r="M194" s="1"/>
      <c r="N194" s="1"/>
      <c r="Q194" s="7">
        <f t="shared" si="22"/>
        <v>-0.41725465593744854</v>
      </c>
      <c r="R194" s="7">
        <f t="shared" si="23"/>
        <v>-0.28369307914204905</v>
      </c>
      <c r="S194" s="7">
        <f t="shared" si="27"/>
        <v>-0.47334430113721782</v>
      </c>
      <c r="T194" s="7">
        <f t="shared" si="24"/>
        <v>0.20386675192326645</v>
      </c>
      <c r="V194" s="7">
        <f t="shared" si="25"/>
        <v>-0.24260632107336222</v>
      </c>
      <c r="AF194" s="7">
        <f t="shared" si="26"/>
        <v>-0.3461269996382122</v>
      </c>
    </row>
    <row r="195" spans="1:32" x14ac:dyDescent="0.35">
      <c r="A195" t="s">
        <v>34</v>
      </c>
      <c r="B195">
        <v>2000</v>
      </c>
      <c r="C195" s="7">
        <v>2000</v>
      </c>
      <c r="D195" s="1">
        <v>1.0217876262057322</v>
      </c>
      <c r="E195" s="7">
        <v>2000</v>
      </c>
      <c r="F195" s="1">
        <v>1.0355539423266518</v>
      </c>
      <c r="G195" s="7">
        <v>2000</v>
      </c>
      <c r="H195" s="1">
        <v>1.0591847262436669</v>
      </c>
      <c r="I195" s="7">
        <v>2000</v>
      </c>
      <c r="J195" s="1">
        <v>1.0592837412290905</v>
      </c>
      <c r="L195" s="1">
        <f t="shared" si="21"/>
        <v>1.0439525090012853</v>
      </c>
      <c r="M195" s="1"/>
      <c r="N195" s="1"/>
      <c r="Q195" s="7">
        <f t="shared" si="22"/>
        <v>0.38502144876957295</v>
      </c>
      <c r="R195" s="7">
        <f t="shared" si="23"/>
        <v>1.1913918273535828</v>
      </c>
      <c r="S195" s="7">
        <f t="shared" si="27"/>
        <v>0.76359596853116185</v>
      </c>
      <c r="T195" s="7">
        <f t="shared" si="24"/>
        <v>1.084518640147178</v>
      </c>
      <c r="V195" s="7">
        <f t="shared" si="25"/>
        <v>0.85613197120037388</v>
      </c>
      <c r="AF195" s="7">
        <f t="shared" si="26"/>
        <v>0.86347419091641353</v>
      </c>
    </row>
    <row r="196" spans="1:32" x14ac:dyDescent="0.35">
      <c r="A196" t="s">
        <v>33</v>
      </c>
      <c r="B196">
        <v>1999</v>
      </c>
      <c r="C196" s="7">
        <v>1999.9166666666665</v>
      </c>
      <c r="D196" s="1">
        <v>1.0696648156277477</v>
      </c>
      <c r="E196" s="7">
        <v>1999.9166666666665</v>
      </c>
      <c r="F196" s="1">
        <v>1.0428499840567274</v>
      </c>
      <c r="G196" s="7">
        <v>1999.9166666666665</v>
      </c>
      <c r="H196" s="1">
        <v>1.0670417866899808</v>
      </c>
      <c r="I196" s="7">
        <v>1999.9166666666665</v>
      </c>
      <c r="J196" s="1">
        <v>1.0723465753424888</v>
      </c>
      <c r="L196" s="1">
        <f t="shared" si="21"/>
        <v>1.0629757904292361</v>
      </c>
      <c r="M196" s="1"/>
      <c r="N196" s="1"/>
      <c r="Q196" s="7">
        <f t="shared" si="22"/>
        <v>1.9921663654702355</v>
      </c>
      <c r="R196" s="7">
        <f t="shared" si="23"/>
        <v>1.4161094614660057</v>
      </c>
      <c r="S196" s="7">
        <f t="shared" si="27"/>
        <v>0.98359625305136478</v>
      </c>
      <c r="T196" s="7">
        <f t="shared" si="24"/>
        <v>1.4927377717327361</v>
      </c>
      <c r="V196" s="7">
        <f t="shared" si="25"/>
        <v>1.4711524629300856</v>
      </c>
      <c r="AF196" s="7">
        <f t="shared" si="26"/>
        <v>1.5019971215832331</v>
      </c>
    </row>
    <row r="197" spans="1:32" x14ac:dyDescent="0.35">
      <c r="A197" t="s">
        <v>35</v>
      </c>
      <c r="B197">
        <v>1999</v>
      </c>
      <c r="C197" s="7">
        <v>1999.8333333333333</v>
      </c>
      <c r="D197" s="1">
        <v>1.0531953539616743</v>
      </c>
      <c r="E197" s="7">
        <v>1999.8333333333333</v>
      </c>
      <c r="F197" s="1">
        <v>1.0300416206013174</v>
      </c>
      <c r="G197" s="7">
        <v>1999.8333333333333</v>
      </c>
      <c r="H197" s="1">
        <v>1.0504017586837342</v>
      </c>
      <c r="I197" s="7">
        <v>1999.8333333333333</v>
      </c>
      <c r="J197" s="1">
        <v>1.0764617053895211</v>
      </c>
      <c r="L197" s="1">
        <f t="shared" ref="L197:L260" si="28">AVERAGE(D197,F197,H197,J197)</f>
        <v>1.0525251096590618</v>
      </c>
      <c r="M197" s="1"/>
      <c r="N197" s="1"/>
      <c r="Q197" s="7">
        <f t="shared" ref="Q197:Q260" si="29">STANDARDIZE(D197, AVERAGE($D$5:$D$411), _xlfn.STDEV.P($L$5:$L$1820))</f>
        <v>1.4393182990535573</v>
      </c>
      <c r="R197" s="7">
        <f t="shared" ref="R197:R260" si="30">STANDARDIZE(F197, AVERAGE($F$4:$F$747), _xlfn.STDEV.P($F$4:$F$747))</f>
        <v>1.0216126590852008</v>
      </c>
      <c r="S197" s="7">
        <f t="shared" si="27"/>
        <v>0.51766997937533232</v>
      </c>
      <c r="T197" s="7">
        <f t="shared" ref="T197:T260" si="31">STANDARDIZE(J197,AVERAGE($J$4:$J$795),_xlfn.STDEV.P($J$4:$J$795))</f>
        <v>1.6213373389918939</v>
      </c>
      <c r="V197" s="7">
        <f t="shared" ref="V197:V260" si="32">AVERAGE(Q197,R197,S197,T197)</f>
        <v>1.149984569126496</v>
      </c>
      <c r="AF197" s="7">
        <f t="shared" ref="AF197:AF260" si="33">STANDARDIZE(L197,L$1,L$2)</f>
        <v>1.1512164564225686</v>
      </c>
    </row>
    <row r="198" spans="1:32" x14ac:dyDescent="0.35">
      <c r="A198" t="s">
        <v>37</v>
      </c>
      <c r="B198">
        <v>1999</v>
      </c>
      <c r="C198" s="7">
        <v>1999.75</v>
      </c>
      <c r="D198" s="1">
        <v>1.047636348122081</v>
      </c>
      <c r="E198" s="7">
        <v>1999.75</v>
      </c>
      <c r="F198" s="1">
        <v>1.0246619687322238</v>
      </c>
      <c r="G198" s="7">
        <v>1999.75</v>
      </c>
      <c r="H198" s="1">
        <v>1.0403851412358178</v>
      </c>
      <c r="I198" s="7">
        <v>1999.75</v>
      </c>
      <c r="J198" s="1">
        <v>1.0767574542806644</v>
      </c>
      <c r="L198" s="1">
        <f t="shared" si="28"/>
        <v>1.0473602280926966</v>
      </c>
      <c r="M198" s="1"/>
      <c r="N198" s="1"/>
      <c r="Q198" s="7">
        <f t="shared" si="29"/>
        <v>1.2527131936815297</v>
      </c>
      <c r="R198" s="7">
        <f t="shared" si="30"/>
        <v>0.85591971418497115</v>
      </c>
      <c r="S198" s="7">
        <f t="shared" si="27"/>
        <v>0.23720138637813185</v>
      </c>
      <c r="T198" s="7">
        <f t="shared" si="31"/>
        <v>1.630579617846684</v>
      </c>
      <c r="V198" s="7">
        <f t="shared" si="32"/>
        <v>0.99410347802282917</v>
      </c>
      <c r="AF198" s="7">
        <f t="shared" si="33"/>
        <v>0.97785544471735542</v>
      </c>
    </row>
    <row r="199" spans="1:32" x14ac:dyDescent="0.35">
      <c r="A199" t="s">
        <v>39</v>
      </c>
      <c r="B199">
        <v>1999</v>
      </c>
      <c r="C199" s="7">
        <v>1999.6666666666665</v>
      </c>
      <c r="D199" s="1">
        <v>1.0463095652577155</v>
      </c>
      <c r="E199" s="7">
        <v>1999.6666666666665</v>
      </c>
      <c r="F199" s="1">
        <v>1.0226665337811993</v>
      </c>
      <c r="G199" s="7">
        <v>1999.6666666666665</v>
      </c>
      <c r="H199" s="1">
        <v>1.0381006724468229</v>
      </c>
      <c r="I199" s="7">
        <v>1999.6666666666665</v>
      </c>
      <c r="J199" s="1">
        <v>1.0643251370890783</v>
      </c>
      <c r="L199" s="1">
        <f t="shared" si="28"/>
        <v>1.0428504771437039</v>
      </c>
      <c r="M199" s="1"/>
      <c r="N199" s="1"/>
      <c r="Q199" s="7">
        <f t="shared" si="29"/>
        <v>1.2081756516542603</v>
      </c>
      <c r="R199" s="7">
        <f t="shared" si="30"/>
        <v>0.79446044108747216</v>
      </c>
      <c r="S199" s="7">
        <f t="shared" si="27"/>
        <v>0.17323550664607706</v>
      </c>
      <c r="T199" s="7">
        <f t="shared" si="31"/>
        <v>1.2420644087053494</v>
      </c>
      <c r="V199" s="7">
        <f t="shared" si="32"/>
        <v>0.85448400202328978</v>
      </c>
      <c r="AF199" s="7">
        <f t="shared" si="33"/>
        <v>0.82648411567328672</v>
      </c>
    </row>
    <row r="200" spans="1:32" x14ac:dyDescent="0.35">
      <c r="A200" t="s">
        <v>41</v>
      </c>
      <c r="B200">
        <v>1999</v>
      </c>
      <c r="C200" s="7">
        <v>1999.5833333333333</v>
      </c>
      <c r="D200" s="1">
        <v>1.0439856468019049</v>
      </c>
      <c r="E200" s="7">
        <v>1999.5833333333333</v>
      </c>
      <c r="F200" s="1">
        <v>1.0116934539367886</v>
      </c>
      <c r="G200" s="7">
        <v>1999.5833333333333</v>
      </c>
      <c r="H200" s="1">
        <v>1.0249662481498525</v>
      </c>
      <c r="I200" s="7">
        <v>1999.5833333333333</v>
      </c>
      <c r="J200" s="1">
        <v>1.0770884182198237</v>
      </c>
      <c r="L200" s="1">
        <f t="shared" si="28"/>
        <v>1.0394334417770925</v>
      </c>
      <c r="M200" s="1"/>
      <c r="N200" s="1"/>
      <c r="Q200" s="7">
        <f t="shared" si="29"/>
        <v>1.1301661908197567</v>
      </c>
      <c r="R200" s="7">
        <f t="shared" si="30"/>
        <v>0.45649026043485241</v>
      </c>
      <c r="S200" s="7">
        <f t="shared" si="27"/>
        <v>-0.19453270668085099</v>
      </c>
      <c r="T200" s="7">
        <f t="shared" si="31"/>
        <v>1.6409223819556746</v>
      </c>
      <c r="V200" s="7">
        <f t="shared" si="32"/>
        <v>0.75826153163235821</v>
      </c>
      <c r="AF200" s="7">
        <f t="shared" si="33"/>
        <v>0.7117901579171283</v>
      </c>
    </row>
    <row r="201" spans="1:32" x14ac:dyDescent="0.35">
      <c r="A201" t="s">
        <v>43</v>
      </c>
      <c r="B201">
        <v>1999</v>
      </c>
      <c r="C201" s="7">
        <v>1999.5</v>
      </c>
      <c r="D201" s="1">
        <v>1.0416612187408039</v>
      </c>
      <c r="E201" s="7">
        <v>1999.5</v>
      </c>
      <c r="F201" s="1">
        <v>0.99257003143566247</v>
      </c>
      <c r="G201" s="7">
        <v>1999.5</v>
      </c>
      <c r="H201" s="1">
        <v>1.0083016645564107</v>
      </c>
      <c r="I201" s="7">
        <v>1999.5</v>
      </c>
      <c r="J201" s="1">
        <v>1.0849771357246194</v>
      </c>
      <c r="L201" s="1">
        <f t="shared" si="28"/>
        <v>1.0318775126143742</v>
      </c>
      <c r="M201" s="1"/>
      <c r="N201" s="1"/>
      <c r="Q201" s="7">
        <f t="shared" si="29"/>
        <v>1.0521396235184384</v>
      </c>
      <c r="R201" s="7">
        <f t="shared" si="30"/>
        <v>-0.13250997004228393</v>
      </c>
      <c r="S201" s="7">
        <f t="shared" si="27"/>
        <v>-0.66114654489917113</v>
      </c>
      <c r="T201" s="7">
        <f t="shared" si="31"/>
        <v>1.8874481650419404</v>
      </c>
      <c r="V201" s="7">
        <f t="shared" si="32"/>
        <v>0.53648281840473089</v>
      </c>
      <c r="AF201" s="7">
        <f t="shared" si="33"/>
        <v>0.45817281796646203</v>
      </c>
    </row>
    <row r="202" spans="1:32" x14ac:dyDescent="0.35">
      <c r="A202" t="s">
        <v>44</v>
      </c>
      <c r="B202">
        <v>1999</v>
      </c>
      <c r="C202" s="7">
        <v>1999.4166666666665</v>
      </c>
      <c r="D202" s="1">
        <v>1.0314692784286215</v>
      </c>
      <c r="E202" s="7">
        <v>1999.4166666666665</v>
      </c>
      <c r="F202" s="1">
        <v>0.97124629387815953</v>
      </c>
      <c r="G202" s="7">
        <v>1999.4166666666665</v>
      </c>
      <c r="H202" s="1">
        <v>1.0011024891735949</v>
      </c>
      <c r="I202" s="7">
        <v>1999.4166666666665</v>
      </c>
      <c r="J202" s="1">
        <v>1.0453192127284701</v>
      </c>
      <c r="L202" s="1">
        <f t="shared" si="28"/>
        <v>1.0122843185522115</v>
      </c>
      <c r="M202" s="1"/>
      <c r="N202" s="1"/>
      <c r="Q202" s="7">
        <f t="shared" si="29"/>
        <v>0.71001584261603534</v>
      </c>
      <c r="R202" s="7">
        <f t="shared" si="30"/>
        <v>-0.78927976819236001</v>
      </c>
      <c r="S202" s="7">
        <f t="shared" si="27"/>
        <v>-0.86272583060688668</v>
      </c>
      <c r="T202" s="7">
        <f t="shared" si="31"/>
        <v>0.64812117478565312</v>
      </c>
      <c r="V202" s="7">
        <f t="shared" si="32"/>
        <v>-7.3467145349389557E-2</v>
      </c>
      <c r="AF202" s="7">
        <f t="shared" si="33"/>
        <v>-0.19947942468574559</v>
      </c>
    </row>
    <row r="203" spans="1:32" x14ac:dyDescent="0.35">
      <c r="A203" t="s">
        <v>42</v>
      </c>
      <c r="B203">
        <v>1999</v>
      </c>
      <c r="C203" s="7">
        <v>1999.3333333333333</v>
      </c>
      <c r="D203" s="1">
        <v>1.005287176560937</v>
      </c>
      <c r="E203" s="7">
        <v>1999.3333333333333</v>
      </c>
      <c r="F203" s="1">
        <v>0.96316321856150855</v>
      </c>
      <c r="G203" s="7">
        <v>1999.3333333333333</v>
      </c>
      <c r="H203" s="1">
        <v>1.0056707227452513</v>
      </c>
      <c r="I203" s="7">
        <v>1999.3333333333333</v>
      </c>
      <c r="J203" s="1">
        <v>1.0132287237784749</v>
      </c>
      <c r="L203" s="1">
        <f t="shared" si="28"/>
        <v>0.99683746041154309</v>
      </c>
      <c r="M203" s="1"/>
      <c r="N203" s="1"/>
      <c r="Q203" s="7">
        <f t="shared" si="29"/>
        <v>-0.16886682433180472</v>
      </c>
      <c r="R203" s="7">
        <f t="shared" si="30"/>
        <v>-1.0382379881025843</v>
      </c>
      <c r="S203" s="7">
        <f t="shared" si="27"/>
        <v>-0.7348137835523636</v>
      </c>
      <c r="T203" s="7">
        <f t="shared" si="31"/>
        <v>-0.35472027735271738</v>
      </c>
      <c r="V203" s="7">
        <f t="shared" si="32"/>
        <v>-0.57415971833486745</v>
      </c>
      <c r="AF203" s="7">
        <f t="shared" si="33"/>
        <v>-0.71795848766603243</v>
      </c>
    </row>
    <row r="204" spans="1:32" x14ac:dyDescent="0.35">
      <c r="A204" t="s">
        <v>40</v>
      </c>
      <c r="B204">
        <v>1999</v>
      </c>
      <c r="C204" s="7">
        <v>1999.25</v>
      </c>
      <c r="D204" s="1">
        <v>0.97506118051252122</v>
      </c>
      <c r="E204" s="7">
        <v>1999.25</v>
      </c>
      <c r="F204" s="1">
        <v>0.95421244903419322</v>
      </c>
      <c r="G204" s="7">
        <v>1999.25</v>
      </c>
      <c r="H204" s="1">
        <v>1.005313225919944</v>
      </c>
      <c r="I204" s="7">
        <v>1999.25</v>
      </c>
      <c r="J204" s="1">
        <v>0.99939169079464307</v>
      </c>
      <c r="L204" s="1">
        <f t="shared" si="28"/>
        <v>0.98349463656532543</v>
      </c>
      <c r="M204" s="1"/>
      <c r="N204" s="1"/>
      <c r="Q204" s="7">
        <f t="shared" si="29"/>
        <v>-1.1834952201893139</v>
      </c>
      <c r="R204" s="7">
        <f t="shared" si="30"/>
        <v>-1.3139211360446439</v>
      </c>
      <c r="S204" s="7">
        <f t="shared" si="27"/>
        <v>-0.74482381259822239</v>
      </c>
      <c r="T204" s="7">
        <f t="shared" si="31"/>
        <v>-0.78713345349394914</v>
      </c>
      <c r="V204" s="7">
        <f t="shared" si="32"/>
        <v>-1.0073434055815322</v>
      </c>
      <c r="AF204" s="7">
        <f t="shared" si="33"/>
        <v>-1.1658149217899638</v>
      </c>
    </row>
    <row r="205" spans="1:32" x14ac:dyDescent="0.35">
      <c r="A205" t="s">
        <v>38</v>
      </c>
      <c r="B205">
        <v>1999</v>
      </c>
      <c r="C205" s="7">
        <v>1999.1666666666665</v>
      </c>
      <c r="D205" s="1">
        <v>0.9765310338427301</v>
      </c>
      <c r="E205" s="7">
        <v>1999.1666666666665</v>
      </c>
      <c r="F205" s="1">
        <v>0.9646089695873149</v>
      </c>
      <c r="G205" s="7">
        <v>1999.1666666666665</v>
      </c>
      <c r="H205" s="1">
        <v>1.0131313970812099</v>
      </c>
      <c r="I205" s="7">
        <v>1999.1666666666665</v>
      </c>
      <c r="J205" s="1">
        <v>0.99382724728694893</v>
      </c>
      <c r="L205" s="1">
        <f t="shared" si="28"/>
        <v>0.98702466194955085</v>
      </c>
      <c r="M205" s="1"/>
      <c r="N205" s="1"/>
      <c r="Q205" s="7">
        <f t="shared" si="29"/>
        <v>-1.1341550785381733</v>
      </c>
      <c r="R205" s="7">
        <f t="shared" si="30"/>
        <v>-0.99370894591035341</v>
      </c>
      <c r="S205" s="7">
        <f t="shared" si="27"/>
        <v>-0.52591244088883626</v>
      </c>
      <c r="T205" s="7">
        <f t="shared" si="31"/>
        <v>-0.96102468389225593</v>
      </c>
      <c r="V205" s="7">
        <f t="shared" si="32"/>
        <v>-0.9037002873074047</v>
      </c>
      <c r="AF205" s="7">
        <f t="shared" si="33"/>
        <v>-1.0473284155475602</v>
      </c>
    </row>
    <row r="206" spans="1:32" x14ac:dyDescent="0.35">
      <c r="A206" t="s">
        <v>36</v>
      </c>
      <c r="B206">
        <v>1999</v>
      </c>
      <c r="C206" s="7">
        <v>1999.0833333333333</v>
      </c>
      <c r="D206" s="1">
        <v>1.0044942470549942</v>
      </c>
      <c r="E206" s="7">
        <v>1999.0833333333333</v>
      </c>
      <c r="F206" s="1">
        <v>0.99706126661116323</v>
      </c>
      <c r="G206" s="7">
        <v>1999.0833333333333</v>
      </c>
      <c r="H206" s="1">
        <v>1.0462426811811012</v>
      </c>
      <c r="I206" s="7">
        <v>1999.0833333333333</v>
      </c>
      <c r="J206" s="1">
        <v>1.0136705514642002</v>
      </c>
      <c r="L206" s="1">
        <f t="shared" si="28"/>
        <v>1.0153671865778646</v>
      </c>
      <c r="M206" s="1"/>
      <c r="N206" s="1"/>
      <c r="Q206" s="7">
        <f t="shared" si="29"/>
        <v>-0.19548393866458394</v>
      </c>
      <c r="R206" s="7">
        <f t="shared" si="30"/>
        <v>5.8197956333528415E-3</v>
      </c>
      <c r="S206" s="7">
        <f t="shared" si="27"/>
        <v>0.4012144372329659</v>
      </c>
      <c r="T206" s="7">
        <f t="shared" si="31"/>
        <v>-0.34091297392901349</v>
      </c>
      <c r="V206" s="7">
        <f t="shared" si="32"/>
        <v>-3.2340669931819672E-2</v>
      </c>
      <c r="AF206" s="7">
        <f t="shared" si="33"/>
        <v>-9.6001907725563482E-2</v>
      </c>
    </row>
    <row r="207" spans="1:32" x14ac:dyDescent="0.35">
      <c r="A207" t="s">
        <v>34</v>
      </c>
      <c r="B207">
        <v>1999</v>
      </c>
      <c r="C207" s="7">
        <v>1999</v>
      </c>
      <c r="D207" s="1">
        <v>1.069041524358725</v>
      </c>
      <c r="E207" s="7">
        <v>1999</v>
      </c>
      <c r="F207" s="1">
        <v>1.0265410336147691</v>
      </c>
      <c r="G207" s="7">
        <v>1999</v>
      </c>
      <c r="H207" s="1">
        <v>1.0721854744028967</v>
      </c>
      <c r="I207" s="7">
        <v>1999</v>
      </c>
      <c r="J207" s="1">
        <v>1.0853614381380789</v>
      </c>
      <c r="L207" s="1">
        <f t="shared" si="28"/>
        <v>1.0632823676286174</v>
      </c>
      <c r="M207" s="1"/>
      <c r="N207" s="1"/>
      <c r="Q207" s="7">
        <f t="shared" si="29"/>
        <v>1.97124367959985</v>
      </c>
      <c r="R207" s="7">
        <f t="shared" si="30"/>
        <v>0.91379479636942329</v>
      </c>
      <c r="S207" s="7">
        <f t="shared" si="27"/>
        <v>1.127621205901949</v>
      </c>
      <c r="T207" s="7">
        <f t="shared" si="31"/>
        <v>1.8994577791981655</v>
      </c>
      <c r="V207" s="7">
        <f t="shared" si="32"/>
        <v>1.4780293652673471</v>
      </c>
      <c r="AF207" s="7">
        <f t="shared" si="33"/>
        <v>1.5122874898651721</v>
      </c>
    </row>
    <row r="208" spans="1:32" x14ac:dyDescent="0.35">
      <c r="A208" t="s">
        <v>33</v>
      </c>
      <c r="B208">
        <v>1998</v>
      </c>
      <c r="C208" s="7">
        <v>1998.9166666666665</v>
      </c>
      <c r="D208" s="1">
        <v>1.0948948235581533</v>
      </c>
      <c r="E208" s="7">
        <v>1998.9166666666665</v>
      </c>
      <c r="F208" s="1">
        <v>1.0344198280338393</v>
      </c>
      <c r="G208" s="7">
        <v>1998.9166666666665</v>
      </c>
      <c r="H208" s="1">
        <v>1.0665603952197134</v>
      </c>
      <c r="I208" s="7">
        <v>1998.9166666666665</v>
      </c>
      <c r="J208" s="1">
        <v>1.1031833781921203</v>
      </c>
      <c r="L208" s="1">
        <f t="shared" si="28"/>
        <v>1.0747646062509566</v>
      </c>
      <c r="M208" s="1"/>
      <c r="N208" s="1"/>
      <c r="Q208" s="7">
        <f t="shared" si="29"/>
        <v>2.8390890750773945</v>
      </c>
      <c r="R208" s="7">
        <f t="shared" si="30"/>
        <v>1.1564611772665154</v>
      </c>
      <c r="S208" s="7">
        <f t="shared" ref="S208:S271" si="34">STANDARDIZE(H208, AVERAGE($H$4:$H$891), _xlfn.STDEV.P($H$4:$H$891))</f>
        <v>0.97011713307410519</v>
      </c>
      <c r="T208" s="7">
        <f t="shared" si="31"/>
        <v>2.4564009990901314</v>
      </c>
      <c r="V208" s="7">
        <f t="shared" si="32"/>
        <v>1.8555170961270369</v>
      </c>
      <c r="AF208" s="7">
        <f t="shared" si="33"/>
        <v>1.8976927462358959</v>
      </c>
    </row>
    <row r="209" spans="1:32" x14ac:dyDescent="0.35">
      <c r="A209" t="s">
        <v>35</v>
      </c>
      <c r="B209">
        <v>1998</v>
      </c>
      <c r="C209" s="7">
        <v>1998.8333333333333</v>
      </c>
      <c r="D209" s="1">
        <v>1.0765620491550607</v>
      </c>
      <c r="E209" s="7">
        <v>1998.8333333333333</v>
      </c>
      <c r="F209" s="1">
        <v>1.021856184206978</v>
      </c>
      <c r="G209" s="7">
        <v>1998.8333333333333</v>
      </c>
      <c r="H209" s="1">
        <v>1.03675027813381</v>
      </c>
      <c r="I209" s="7">
        <v>1998.8333333333333</v>
      </c>
      <c r="J209" s="1">
        <v>1.0916961932152744</v>
      </c>
      <c r="L209" s="1">
        <f t="shared" si="28"/>
        <v>1.0567161761777808</v>
      </c>
      <c r="M209" s="1"/>
      <c r="N209" s="1"/>
      <c r="Q209" s="7">
        <f t="shared" si="29"/>
        <v>2.2236931935179411</v>
      </c>
      <c r="R209" s="7">
        <f t="shared" si="30"/>
        <v>0.76950172431199415</v>
      </c>
      <c r="S209" s="7">
        <f t="shared" si="34"/>
        <v>0.13542402039021273</v>
      </c>
      <c r="T209" s="7">
        <f t="shared" si="31"/>
        <v>2.0974215743417921</v>
      </c>
      <c r="V209" s="7">
        <f t="shared" si="32"/>
        <v>1.3065101281404852</v>
      </c>
      <c r="AF209" s="7">
        <f t="shared" si="33"/>
        <v>1.291891033849579</v>
      </c>
    </row>
    <row r="210" spans="1:32" x14ac:dyDescent="0.35">
      <c r="A210" t="s">
        <v>37</v>
      </c>
      <c r="B210">
        <v>1998</v>
      </c>
      <c r="C210" s="7">
        <v>1998.75</v>
      </c>
      <c r="D210" s="1">
        <v>1.0631394307097723</v>
      </c>
      <c r="E210" s="7">
        <v>1998.75</v>
      </c>
      <c r="F210" s="1">
        <v>1.0066488138011747</v>
      </c>
      <c r="G210" s="7">
        <v>1998.75</v>
      </c>
      <c r="H210" s="1">
        <v>1.0129445467032729</v>
      </c>
      <c r="I210" s="7">
        <v>1998.75</v>
      </c>
      <c r="J210" s="1">
        <v>1.0583369600760892</v>
      </c>
      <c r="L210" s="1">
        <f t="shared" si="28"/>
        <v>1.0352674378225772</v>
      </c>
      <c r="M210" s="1"/>
      <c r="N210" s="1"/>
      <c r="Q210" s="7">
        <f t="shared" si="29"/>
        <v>1.7731217781198987</v>
      </c>
      <c r="R210" s="7">
        <f t="shared" si="30"/>
        <v>0.30111565620928382</v>
      </c>
      <c r="S210" s="7">
        <f t="shared" si="34"/>
        <v>-0.53114431311251586</v>
      </c>
      <c r="T210" s="7">
        <f t="shared" si="31"/>
        <v>1.0549313257309794</v>
      </c>
      <c r="V210" s="7">
        <f t="shared" si="32"/>
        <v>0.64950611173691153</v>
      </c>
      <c r="AF210" s="7">
        <f t="shared" si="33"/>
        <v>0.5719568140073753</v>
      </c>
    </row>
    <row r="211" spans="1:32" x14ac:dyDescent="0.35">
      <c r="A211" t="s">
        <v>39</v>
      </c>
      <c r="B211">
        <v>1998</v>
      </c>
      <c r="C211" s="7">
        <v>1998.6666666666665</v>
      </c>
      <c r="D211" s="1">
        <v>1.0362152598351206</v>
      </c>
      <c r="E211" s="7">
        <v>1998.6666666666665</v>
      </c>
      <c r="F211" s="1">
        <v>0.99313837765029367</v>
      </c>
      <c r="G211" s="7">
        <v>1998.6666666666665</v>
      </c>
      <c r="H211" s="1">
        <v>1.0042344520061413</v>
      </c>
      <c r="I211" s="7">
        <v>1998.6666666666665</v>
      </c>
      <c r="J211" s="1">
        <v>1.0301448619198579</v>
      </c>
      <c r="L211" s="1">
        <f t="shared" si="28"/>
        <v>1.0159332378528534</v>
      </c>
      <c r="M211" s="1"/>
      <c r="N211" s="1"/>
      <c r="Q211" s="7">
        <f t="shared" si="29"/>
        <v>0.869329285704314</v>
      </c>
      <c r="R211" s="7">
        <f t="shared" si="30"/>
        <v>-0.11500494177713569</v>
      </c>
      <c r="S211" s="7">
        <f t="shared" si="34"/>
        <v>-0.77502983806935322</v>
      </c>
      <c r="T211" s="7">
        <f t="shared" si="31"/>
        <v>0.1739162468433503</v>
      </c>
      <c r="V211" s="7">
        <f t="shared" si="32"/>
        <v>3.8302688175293843E-2</v>
      </c>
      <c r="AF211" s="7">
        <f t="shared" si="33"/>
        <v>-7.7002203579755027E-2</v>
      </c>
    </row>
    <row r="212" spans="1:32" x14ac:dyDescent="0.35">
      <c r="A212" t="s">
        <v>41</v>
      </c>
      <c r="B212">
        <v>1998</v>
      </c>
      <c r="C212" s="7">
        <v>1998.5833333333333</v>
      </c>
      <c r="D212" s="1">
        <v>1.0141466206714116</v>
      </c>
      <c r="E212" s="7">
        <v>1998.5833333333333</v>
      </c>
      <c r="F212" s="1">
        <v>0.97166956748163225</v>
      </c>
      <c r="G212" s="7">
        <v>1998.5833333333333</v>
      </c>
      <c r="H212" s="1">
        <v>0.9882622223628803</v>
      </c>
      <c r="I212" s="7">
        <v>1998.5833333333333</v>
      </c>
      <c r="J212" s="1">
        <v>1.021145272064349</v>
      </c>
      <c r="L212" s="1">
        <f t="shared" si="28"/>
        <v>0.99880592064506823</v>
      </c>
      <c r="M212" s="1"/>
      <c r="N212" s="1"/>
      <c r="Q212" s="7">
        <f t="shared" si="29"/>
        <v>0.12852762882704161</v>
      </c>
      <c r="R212" s="7">
        <f t="shared" si="30"/>
        <v>-0.77624296737986742</v>
      </c>
      <c r="S212" s="7">
        <f t="shared" si="34"/>
        <v>-1.2222575372768765</v>
      </c>
      <c r="T212" s="7">
        <f t="shared" si="31"/>
        <v>-0.1073247705001897</v>
      </c>
      <c r="V212" s="7">
        <f t="shared" si="32"/>
        <v>-0.49432441158247298</v>
      </c>
      <c r="AF212" s="7">
        <f t="shared" si="33"/>
        <v>-0.65188644841391852</v>
      </c>
    </row>
    <row r="213" spans="1:32" x14ac:dyDescent="0.35">
      <c r="A213" t="s">
        <v>43</v>
      </c>
      <c r="B213">
        <v>1998</v>
      </c>
      <c r="C213" s="7">
        <v>1998.5</v>
      </c>
      <c r="D213" s="1">
        <v>0.99791482598351544</v>
      </c>
      <c r="E213" s="7">
        <v>1998.5</v>
      </c>
      <c r="F213" s="1">
        <v>0.9513941071514086</v>
      </c>
      <c r="G213" s="7">
        <v>1998.5</v>
      </c>
      <c r="H213" s="1">
        <v>0.98083408892948731</v>
      </c>
      <c r="I213" s="7">
        <v>1998.5</v>
      </c>
      <c r="J213" s="1">
        <v>1.0120448937522801</v>
      </c>
      <c r="L213" s="1">
        <f t="shared" si="28"/>
        <v>0.98554697895417287</v>
      </c>
      <c r="M213" s="1"/>
      <c r="N213" s="1"/>
      <c r="Q213" s="7">
        <f t="shared" si="29"/>
        <v>-0.41634241547813827</v>
      </c>
      <c r="R213" s="7">
        <f t="shared" si="30"/>
        <v>-1.4007258917532919</v>
      </c>
      <c r="S213" s="7">
        <f t="shared" si="34"/>
        <v>-1.4302477239334079</v>
      </c>
      <c r="T213" s="7">
        <f t="shared" si="31"/>
        <v>-0.39171547005308915</v>
      </c>
      <c r="V213" s="7">
        <f t="shared" si="32"/>
        <v>-0.90975787530448193</v>
      </c>
      <c r="AF213" s="7">
        <f t="shared" si="33"/>
        <v>-1.0969273493791833</v>
      </c>
    </row>
    <row r="214" spans="1:32" x14ac:dyDescent="0.35">
      <c r="A214" t="s">
        <v>44</v>
      </c>
      <c r="B214">
        <v>1998</v>
      </c>
      <c r="C214" s="7">
        <v>1998.4166666666665</v>
      </c>
      <c r="D214" s="1">
        <v>0.96715794267429933</v>
      </c>
      <c r="E214" s="7">
        <v>1998.4166666666665</v>
      </c>
      <c r="F214" s="1">
        <v>0.94482510311681089</v>
      </c>
      <c r="G214" s="7">
        <v>1998.4166666666665</v>
      </c>
      <c r="H214" s="1">
        <v>0.98276281981468849</v>
      </c>
      <c r="I214" s="7">
        <v>1998.4166666666665</v>
      </c>
      <c r="J214" s="1">
        <v>1.0007098724444516</v>
      </c>
      <c r="L214" s="1">
        <f t="shared" si="28"/>
        <v>0.97386393451256259</v>
      </c>
      <c r="M214" s="1"/>
      <c r="N214" s="1"/>
      <c r="Q214" s="7">
        <f t="shared" si="29"/>
        <v>-1.4487916728531369</v>
      </c>
      <c r="R214" s="7">
        <f t="shared" si="30"/>
        <v>-1.60305080980368</v>
      </c>
      <c r="S214" s="7">
        <f t="shared" si="34"/>
        <v>-1.376242622864569</v>
      </c>
      <c r="T214" s="7">
        <f t="shared" si="31"/>
        <v>-0.74593971531389003</v>
      </c>
      <c r="V214" s="7">
        <f t="shared" si="32"/>
        <v>-1.2935062052088189</v>
      </c>
      <c r="AF214" s="7">
        <f t="shared" si="33"/>
        <v>-1.489072721575956</v>
      </c>
    </row>
    <row r="215" spans="1:32" x14ac:dyDescent="0.35">
      <c r="A215" t="s">
        <v>42</v>
      </c>
      <c r="B215">
        <v>1998</v>
      </c>
      <c r="C215" s="7">
        <v>1998.3333333333333</v>
      </c>
      <c r="D215" s="1">
        <v>0.96332031047242683</v>
      </c>
      <c r="E215" s="7">
        <v>1998.3333333333333</v>
      </c>
      <c r="F215" s="1">
        <v>0.940526396649497</v>
      </c>
      <c r="G215" s="7">
        <v>1998.3333333333333</v>
      </c>
      <c r="H215" s="1">
        <v>0.97876554053061915</v>
      </c>
      <c r="I215" s="7">
        <v>1998.3333333333333</v>
      </c>
      <c r="J215" s="1">
        <v>0.99714116131738173</v>
      </c>
      <c r="L215" s="1">
        <f t="shared" si="28"/>
        <v>0.96993835224248115</v>
      </c>
      <c r="M215" s="1"/>
      <c r="N215" s="1"/>
      <c r="Q215" s="7">
        <f t="shared" si="29"/>
        <v>-1.5776135849132058</v>
      </c>
      <c r="R215" s="7">
        <f t="shared" si="30"/>
        <v>-1.7354507031727853</v>
      </c>
      <c r="S215" s="7">
        <f t="shared" si="34"/>
        <v>-1.4881677615103497</v>
      </c>
      <c r="T215" s="7">
        <f t="shared" si="31"/>
        <v>-0.85746345851736339</v>
      </c>
      <c r="V215" s="7">
        <f t="shared" si="32"/>
        <v>-1.4146738770284262</v>
      </c>
      <c r="AF215" s="7">
        <f t="shared" si="33"/>
        <v>-1.6208362296310501</v>
      </c>
    </row>
    <row r="216" spans="1:32" x14ac:dyDescent="0.35">
      <c r="A216" t="s">
        <v>40</v>
      </c>
      <c r="B216">
        <v>1998</v>
      </c>
      <c r="C216" s="7">
        <v>1998.25</v>
      </c>
      <c r="D216" s="1">
        <v>0.96509434375157077</v>
      </c>
      <c r="E216" s="7">
        <v>1998.25</v>
      </c>
      <c r="F216" s="1">
        <v>0.92874212862281891</v>
      </c>
      <c r="G216" s="7">
        <v>1998.25</v>
      </c>
      <c r="H216" s="1">
        <v>0.97490898714970409</v>
      </c>
      <c r="I216" s="7">
        <v>1998.25</v>
      </c>
      <c r="J216" s="1">
        <v>0.98404221555415872</v>
      </c>
      <c r="L216" s="1">
        <f t="shared" si="28"/>
        <v>0.96319691876956315</v>
      </c>
      <c r="M216" s="1"/>
      <c r="N216" s="1"/>
      <c r="Q216" s="7">
        <f t="shared" si="29"/>
        <v>-1.5180627089939327</v>
      </c>
      <c r="R216" s="7">
        <f t="shared" si="30"/>
        <v>-2.0984054296768422</v>
      </c>
      <c r="S216" s="7">
        <f t="shared" si="34"/>
        <v>-1.5961525284427081</v>
      </c>
      <c r="T216" s="7">
        <f t="shared" si="31"/>
        <v>-1.266811094545649</v>
      </c>
      <c r="V216" s="7">
        <f t="shared" si="32"/>
        <v>-1.619857940414783</v>
      </c>
      <c r="AF216" s="7">
        <f t="shared" si="33"/>
        <v>-1.8471147438992745</v>
      </c>
    </row>
    <row r="217" spans="1:32" x14ac:dyDescent="0.35">
      <c r="A217" t="s">
        <v>38</v>
      </c>
      <c r="B217">
        <v>1998</v>
      </c>
      <c r="C217" s="7">
        <v>1998.1666666666665</v>
      </c>
      <c r="D217" s="1">
        <v>0.96430397328686168</v>
      </c>
      <c r="E217" s="7">
        <v>1998.1666666666665</v>
      </c>
      <c r="F217" s="1">
        <v>0.93154508632956712</v>
      </c>
      <c r="G217" s="7">
        <v>1998.1666666666665</v>
      </c>
      <c r="H217" s="1">
        <v>0.97458859291023414</v>
      </c>
      <c r="I217" s="7">
        <v>1998.1666666666665</v>
      </c>
      <c r="J217" s="1">
        <v>0.98447632367183679</v>
      </c>
      <c r="L217" s="1">
        <f t="shared" si="28"/>
        <v>0.96372849404962491</v>
      </c>
      <c r="M217" s="1"/>
      <c r="N217" s="1"/>
      <c r="Q217" s="7">
        <f t="shared" si="29"/>
        <v>-1.5445939212476631</v>
      </c>
      <c r="R217" s="7">
        <f t="shared" si="30"/>
        <v>-2.0120745056387865</v>
      </c>
      <c r="S217" s="7">
        <f t="shared" si="34"/>
        <v>-1.6051236728450766</v>
      </c>
      <c r="T217" s="7">
        <f t="shared" si="31"/>
        <v>-1.2532450309124115</v>
      </c>
      <c r="V217" s="7">
        <f t="shared" si="32"/>
        <v>-1.6037592826609846</v>
      </c>
      <c r="AF217" s="7">
        <f t="shared" si="33"/>
        <v>-1.829272238284215</v>
      </c>
    </row>
    <row r="218" spans="1:32" x14ac:dyDescent="0.35">
      <c r="A218" t="s">
        <v>36</v>
      </c>
      <c r="B218">
        <v>1998</v>
      </c>
      <c r="C218" s="7">
        <v>1998.0833333333333</v>
      </c>
      <c r="D218" s="1">
        <v>0.97328876746492166</v>
      </c>
      <c r="E218" s="7">
        <v>1998.0833333333333</v>
      </c>
      <c r="F218" s="1">
        <v>0.94385795159365693</v>
      </c>
      <c r="G218" s="7">
        <v>1998.0833333333333</v>
      </c>
      <c r="H218" s="1">
        <v>0.97735113019561848</v>
      </c>
      <c r="I218" s="7">
        <v>1998.0833333333333</v>
      </c>
      <c r="J218" s="1">
        <v>0.99752061289854443</v>
      </c>
      <c r="L218" s="1">
        <f t="shared" si="28"/>
        <v>0.9730046155381854</v>
      </c>
      <c r="M218" s="1"/>
      <c r="N218" s="1"/>
      <c r="Q218" s="7">
        <f t="shared" si="29"/>
        <v>-1.2429917080602941</v>
      </c>
      <c r="R218" s="7">
        <f t="shared" si="30"/>
        <v>-1.6328390169099369</v>
      </c>
      <c r="S218" s="7">
        <f t="shared" si="34"/>
        <v>-1.5277717175005883</v>
      </c>
      <c r="T218" s="7">
        <f t="shared" si="31"/>
        <v>-0.84560543493715656</v>
      </c>
      <c r="V218" s="7">
        <f t="shared" si="32"/>
        <v>-1.3123019693519939</v>
      </c>
      <c r="AF218" s="7">
        <f t="shared" si="33"/>
        <v>-1.5179160560960843</v>
      </c>
    </row>
    <row r="219" spans="1:32" x14ac:dyDescent="0.35">
      <c r="A219" t="s">
        <v>34</v>
      </c>
      <c r="B219">
        <v>1998</v>
      </c>
      <c r="C219" s="7">
        <v>1998</v>
      </c>
      <c r="D219" s="1">
        <v>0.98538613250984508</v>
      </c>
      <c r="E219" s="7">
        <v>1998</v>
      </c>
      <c r="F219" s="1">
        <v>0.96904080218056898</v>
      </c>
      <c r="G219" s="7">
        <v>1998</v>
      </c>
      <c r="H219" s="1">
        <v>0.98590830833365173</v>
      </c>
      <c r="I219" s="7">
        <v>1998</v>
      </c>
      <c r="J219" s="1">
        <v>1.0080446017293614</v>
      </c>
      <c r="L219" s="1">
        <f t="shared" si="28"/>
        <v>0.98709496118835682</v>
      </c>
      <c r="M219" s="1"/>
      <c r="N219" s="1"/>
      <c r="Q219" s="7">
        <f t="shared" si="29"/>
        <v>-0.83690649353262669</v>
      </c>
      <c r="R219" s="7">
        <f t="shared" si="30"/>
        <v>-0.85720877609456725</v>
      </c>
      <c r="S219" s="7">
        <f t="shared" si="34"/>
        <v>-1.2881679066452747</v>
      </c>
      <c r="T219" s="7">
        <f t="shared" si="31"/>
        <v>-0.51672630013088949</v>
      </c>
      <c r="V219" s="7">
        <f t="shared" si="32"/>
        <v>-0.87475236910083942</v>
      </c>
      <c r="AF219" s="7">
        <f t="shared" si="33"/>
        <v>-1.0449687976153941</v>
      </c>
    </row>
    <row r="220" spans="1:32" x14ac:dyDescent="0.35">
      <c r="A220" t="s">
        <v>33</v>
      </c>
      <c r="B220">
        <v>1997</v>
      </c>
      <c r="C220" s="7">
        <v>1997.9166666666665</v>
      </c>
      <c r="D220" s="1">
        <v>0.99409596210919737</v>
      </c>
      <c r="E220" s="7">
        <v>1997.9166666666665</v>
      </c>
      <c r="F220" s="1">
        <v>0.98376037297054975</v>
      </c>
      <c r="G220" s="7">
        <v>1997.9166666666665</v>
      </c>
      <c r="H220" s="1">
        <v>0.99859240852172693</v>
      </c>
      <c r="I220" s="7">
        <v>1997.9166666666665</v>
      </c>
      <c r="J220" s="1">
        <v>1.013219056179663</v>
      </c>
      <c r="L220" s="1">
        <f t="shared" si="28"/>
        <v>0.99741694994528429</v>
      </c>
      <c r="M220" s="1"/>
      <c r="N220" s="1"/>
      <c r="Q220" s="7">
        <f t="shared" si="29"/>
        <v>-0.54453431097733107</v>
      </c>
      <c r="R220" s="7">
        <f t="shared" si="30"/>
        <v>-0.40384690599455403</v>
      </c>
      <c r="S220" s="7">
        <f t="shared" si="34"/>
        <v>-0.93300891692814281</v>
      </c>
      <c r="T220" s="7">
        <f t="shared" si="31"/>
        <v>-0.3550223939345607</v>
      </c>
      <c r="V220" s="7">
        <f t="shared" si="32"/>
        <v>-0.55910313195864714</v>
      </c>
      <c r="AF220" s="7">
        <f t="shared" si="33"/>
        <v>-0.6985077237809163</v>
      </c>
    </row>
    <row r="221" spans="1:32" x14ac:dyDescent="0.35">
      <c r="A221" t="s">
        <v>35</v>
      </c>
      <c r="B221">
        <v>1997</v>
      </c>
      <c r="C221" s="7">
        <v>1997.8333333333333</v>
      </c>
      <c r="D221" s="1">
        <v>0.98546359217090984</v>
      </c>
      <c r="E221" s="7">
        <v>1997.8333333333333</v>
      </c>
      <c r="F221" s="1">
        <v>0.97749589870689868</v>
      </c>
      <c r="G221" s="7">
        <v>1997.8333333333333</v>
      </c>
      <c r="H221" s="1">
        <v>0.99815534726550492</v>
      </c>
      <c r="I221" s="7">
        <v>1997.8333333333333</v>
      </c>
      <c r="J221" s="1">
        <v>1.0089072695275807</v>
      </c>
      <c r="L221" s="1">
        <f t="shared" si="28"/>
        <v>0.99250552691772342</v>
      </c>
      <c r="M221" s="1"/>
      <c r="N221" s="1"/>
      <c r="Q221" s="7">
        <f t="shared" si="29"/>
        <v>-0.83430632209331612</v>
      </c>
      <c r="R221" s="7">
        <f t="shared" si="30"/>
        <v>-0.59679232593135112</v>
      </c>
      <c r="S221" s="7">
        <f t="shared" si="34"/>
        <v>-0.9452467762877087</v>
      </c>
      <c r="T221" s="7">
        <f t="shared" si="31"/>
        <v>-0.48976756388890419</v>
      </c>
      <c r="V221" s="7">
        <f t="shared" si="32"/>
        <v>-0.71652824705032003</v>
      </c>
      <c r="AF221" s="7">
        <f t="shared" si="33"/>
        <v>-0.86336131316717701</v>
      </c>
    </row>
    <row r="222" spans="1:32" x14ac:dyDescent="0.35">
      <c r="A222" t="s">
        <v>37</v>
      </c>
      <c r="B222">
        <v>1997</v>
      </c>
      <c r="C222" s="7">
        <v>1997.75</v>
      </c>
      <c r="D222" s="1">
        <v>0.97463802564780233</v>
      </c>
      <c r="E222" s="7">
        <v>1997.75</v>
      </c>
      <c r="F222" s="1">
        <v>0.96968521389250384</v>
      </c>
      <c r="G222" s="7">
        <v>1997.75</v>
      </c>
      <c r="H222" s="1">
        <v>1.0038131072430203</v>
      </c>
      <c r="I222" s="7">
        <v>1997.75</v>
      </c>
      <c r="J222" s="1">
        <v>1.010764622257754</v>
      </c>
      <c r="L222" s="1">
        <f t="shared" si="28"/>
        <v>0.98972524226027003</v>
      </c>
      <c r="M222" s="1"/>
      <c r="N222" s="1"/>
      <c r="Q222" s="7">
        <f t="shared" si="29"/>
        <v>-1.1976997129346085</v>
      </c>
      <c r="R222" s="7">
        <f t="shared" si="30"/>
        <v>-0.83736093521621791</v>
      </c>
      <c r="S222" s="7">
        <f t="shared" si="34"/>
        <v>-0.78682763043726001</v>
      </c>
      <c r="T222" s="7">
        <f t="shared" si="31"/>
        <v>-0.43172449972859844</v>
      </c>
      <c r="V222" s="7">
        <f t="shared" si="32"/>
        <v>-0.81340319457917121</v>
      </c>
      <c r="AF222" s="7">
        <f t="shared" si="33"/>
        <v>-0.95668251615147071</v>
      </c>
    </row>
    <row r="223" spans="1:32" x14ac:dyDescent="0.35">
      <c r="A223" t="s">
        <v>39</v>
      </c>
      <c r="B223">
        <v>1997</v>
      </c>
      <c r="C223" s="7">
        <v>1997.6666666666665</v>
      </c>
      <c r="D223" s="1">
        <v>0.9697139348099143</v>
      </c>
      <c r="E223" s="7">
        <v>1997.6666666666665</v>
      </c>
      <c r="F223" s="1">
        <v>0.97402155782435818</v>
      </c>
      <c r="G223" s="7">
        <v>1997.6666666666665</v>
      </c>
      <c r="H223" s="1">
        <v>0.9938573577448917</v>
      </c>
      <c r="I223" s="7">
        <v>1997.6666666666665</v>
      </c>
      <c r="J223" s="1">
        <v>1.0028684573369799</v>
      </c>
      <c r="L223" s="1">
        <f t="shared" si="28"/>
        <v>0.98511532692903603</v>
      </c>
      <c r="M223" s="1"/>
      <c r="N223" s="1"/>
      <c r="Q223" s="7">
        <f t="shared" si="29"/>
        <v>-1.3629919461467161</v>
      </c>
      <c r="R223" s="7">
        <f t="shared" si="30"/>
        <v>-0.70380181026669919</v>
      </c>
      <c r="S223" s="7">
        <f t="shared" si="34"/>
        <v>-1.0655919007602277</v>
      </c>
      <c r="T223" s="7">
        <f t="shared" si="31"/>
        <v>-0.67848301773722841</v>
      </c>
      <c r="V223" s="7">
        <f t="shared" si="32"/>
        <v>-0.95271716872771783</v>
      </c>
      <c r="AF223" s="7">
        <f t="shared" si="33"/>
        <v>-1.1114158968552081</v>
      </c>
    </row>
    <row r="224" spans="1:32" x14ac:dyDescent="0.35">
      <c r="A224" t="s">
        <v>41</v>
      </c>
      <c r="B224">
        <v>1997</v>
      </c>
      <c r="C224" s="7">
        <v>1997.5833333333333</v>
      </c>
      <c r="D224" s="1">
        <v>0.96813682135982371</v>
      </c>
      <c r="E224" s="7">
        <v>1997.5833333333333</v>
      </c>
      <c r="F224" s="1">
        <v>0.97440118591192382</v>
      </c>
      <c r="G224" s="7">
        <v>1997.5833333333333</v>
      </c>
      <c r="H224" s="1">
        <v>0.99683947779880044</v>
      </c>
      <c r="I224" s="7">
        <v>1997.5833333333333</v>
      </c>
      <c r="J224" s="1">
        <v>0.99531550086804299</v>
      </c>
      <c r="L224" s="1">
        <f t="shared" si="28"/>
        <v>0.98367324648464782</v>
      </c>
      <c r="M224" s="1"/>
      <c r="N224" s="1"/>
      <c r="Q224" s="7">
        <f t="shared" si="29"/>
        <v>-1.4159326031688226</v>
      </c>
      <c r="R224" s="7">
        <f t="shared" si="30"/>
        <v>-0.69210928864518551</v>
      </c>
      <c r="S224" s="7">
        <f t="shared" si="34"/>
        <v>-0.98209155545728277</v>
      </c>
      <c r="T224" s="7">
        <f t="shared" si="31"/>
        <v>-0.91451612539879867</v>
      </c>
      <c r="V224" s="7">
        <f t="shared" si="32"/>
        <v>-1.0011623931675224</v>
      </c>
      <c r="AF224" s="7">
        <f t="shared" si="33"/>
        <v>-1.1598198189175259</v>
      </c>
    </row>
    <row r="225" spans="1:32" x14ac:dyDescent="0.35">
      <c r="A225" t="s">
        <v>43</v>
      </c>
      <c r="B225">
        <v>1997</v>
      </c>
      <c r="C225" s="7">
        <v>1997.5</v>
      </c>
      <c r="D225" s="1">
        <v>0.96566769771932481</v>
      </c>
      <c r="E225" s="7">
        <v>1997.5</v>
      </c>
      <c r="F225" s="1">
        <v>0.95565867819393402</v>
      </c>
      <c r="G225" s="7">
        <v>1997.5</v>
      </c>
      <c r="H225" s="1">
        <v>0.99535880260934995</v>
      </c>
      <c r="I225" s="7">
        <v>1997.5</v>
      </c>
      <c r="J225" s="1">
        <v>0.99162488697712181</v>
      </c>
      <c r="L225" s="1">
        <f t="shared" si="28"/>
        <v>0.97707751637493268</v>
      </c>
      <c r="M225" s="1"/>
      <c r="N225" s="1"/>
      <c r="Q225" s="7">
        <f t="shared" si="29"/>
        <v>-1.4988163220219701</v>
      </c>
      <c r="R225" s="7">
        <f t="shared" si="30"/>
        <v>-1.2693773673567992</v>
      </c>
      <c r="S225" s="7">
        <f t="shared" si="34"/>
        <v>-1.0235509492327164</v>
      </c>
      <c r="T225" s="7">
        <f t="shared" si="31"/>
        <v>-1.0298493819104293</v>
      </c>
      <c r="V225" s="7">
        <f t="shared" si="32"/>
        <v>-1.2053985051304787</v>
      </c>
      <c r="AF225" s="7">
        <f t="shared" si="33"/>
        <v>-1.3812077500950959</v>
      </c>
    </row>
    <row r="226" spans="1:32" x14ac:dyDescent="0.35">
      <c r="A226" t="s">
        <v>44</v>
      </c>
      <c r="B226">
        <v>1997</v>
      </c>
      <c r="C226" s="7">
        <v>1997.4166666666665</v>
      </c>
      <c r="D226" s="1">
        <v>0.9677167713740561</v>
      </c>
      <c r="E226" s="7">
        <v>1997.4166666666665</v>
      </c>
      <c r="F226" s="1">
        <v>0.94565006852327116</v>
      </c>
      <c r="G226" s="7">
        <v>1997.4166666666665</v>
      </c>
      <c r="H226" s="1">
        <v>0.99124015290862921</v>
      </c>
      <c r="I226" s="7">
        <v>1997.4166666666665</v>
      </c>
      <c r="J226" s="1">
        <v>0.98453658566176983</v>
      </c>
      <c r="L226" s="1">
        <f t="shared" si="28"/>
        <v>0.97228589461693149</v>
      </c>
      <c r="M226" s="1"/>
      <c r="N226" s="1"/>
      <c r="Q226" s="7">
        <f t="shared" si="29"/>
        <v>-1.4300328711155492</v>
      </c>
      <c r="R226" s="7">
        <f t="shared" si="30"/>
        <v>-1.5776419262990591</v>
      </c>
      <c r="S226" s="7">
        <f t="shared" si="34"/>
        <v>-1.1388744995845146</v>
      </c>
      <c r="T226" s="7">
        <f t="shared" si="31"/>
        <v>-1.2513618180518236</v>
      </c>
      <c r="V226" s="7">
        <f t="shared" si="32"/>
        <v>-1.3494777787627366</v>
      </c>
      <c r="AF226" s="7">
        <f t="shared" si="33"/>
        <v>-1.5420401689999874</v>
      </c>
    </row>
    <row r="227" spans="1:32" x14ac:dyDescent="0.35">
      <c r="A227" t="s">
        <v>42</v>
      </c>
      <c r="B227">
        <v>1997</v>
      </c>
      <c r="C227" s="7">
        <v>1997.3333333333333</v>
      </c>
      <c r="D227" s="1">
        <v>0.96751922710618699</v>
      </c>
      <c r="E227" s="7">
        <v>1997.3333333333333</v>
      </c>
      <c r="F227" s="1">
        <v>0.93953483637214485</v>
      </c>
      <c r="G227" s="7">
        <v>1997.3333333333333</v>
      </c>
      <c r="H227" s="1">
        <v>0.99440576947184278</v>
      </c>
      <c r="I227" s="7">
        <v>1997.3333333333333</v>
      </c>
      <c r="J227" s="1">
        <v>0.97713473510351723</v>
      </c>
      <c r="L227" s="1">
        <f t="shared" si="28"/>
        <v>0.96964864201342293</v>
      </c>
      <c r="M227" s="1"/>
      <c r="N227" s="1"/>
      <c r="Q227" s="7">
        <f t="shared" si="29"/>
        <v>-1.4366640512195175</v>
      </c>
      <c r="R227" s="7">
        <f t="shared" si="30"/>
        <v>-1.7659906983989533</v>
      </c>
      <c r="S227" s="7">
        <f t="shared" si="34"/>
        <v>-1.0502361914860225</v>
      </c>
      <c r="T227" s="7">
        <f t="shared" si="31"/>
        <v>-1.4826728016244304</v>
      </c>
      <c r="V227" s="7">
        <f t="shared" si="32"/>
        <v>-1.4338909356822307</v>
      </c>
      <c r="AF227" s="7">
        <f t="shared" si="33"/>
        <v>-1.6305604523001533</v>
      </c>
    </row>
    <row r="228" spans="1:32" x14ac:dyDescent="0.35">
      <c r="A228" t="s">
        <v>40</v>
      </c>
      <c r="B228">
        <v>1997</v>
      </c>
      <c r="C228" s="7">
        <v>1997.25</v>
      </c>
      <c r="D228" s="1">
        <v>0.96473837792542583</v>
      </c>
      <c r="E228" s="7">
        <v>1997.25</v>
      </c>
      <c r="F228" s="1">
        <v>0.92661246852258139</v>
      </c>
      <c r="G228" s="7">
        <v>1997.25</v>
      </c>
      <c r="H228" s="1">
        <v>0.99214835708890547</v>
      </c>
      <c r="I228" s="7">
        <v>1997.25</v>
      </c>
      <c r="J228" s="1">
        <v>0.97406255571575273</v>
      </c>
      <c r="L228" s="1">
        <f t="shared" si="28"/>
        <v>0.96439043981316641</v>
      </c>
      <c r="M228" s="1"/>
      <c r="N228" s="1"/>
      <c r="Q228" s="7">
        <f t="shared" si="29"/>
        <v>-1.5300117952898156</v>
      </c>
      <c r="R228" s="7">
        <f t="shared" si="30"/>
        <v>-2.1639988290698637</v>
      </c>
      <c r="S228" s="7">
        <f t="shared" si="34"/>
        <v>-1.1134444829226278</v>
      </c>
      <c r="T228" s="7">
        <f t="shared" si="31"/>
        <v>-1.5786797164226478</v>
      </c>
      <c r="V228" s="7">
        <f t="shared" si="32"/>
        <v>-1.5965337059262386</v>
      </c>
      <c r="AF228" s="7">
        <f t="shared" si="33"/>
        <v>-1.8070538029170136</v>
      </c>
    </row>
    <row r="229" spans="1:32" x14ac:dyDescent="0.35">
      <c r="A229" t="s">
        <v>38</v>
      </c>
      <c r="B229">
        <v>1997</v>
      </c>
      <c r="C229" s="7">
        <v>1997.1666666666665</v>
      </c>
      <c r="D229" s="1">
        <v>0.97153176015489295</v>
      </c>
      <c r="E229" s="7">
        <v>1997.1666666666665</v>
      </c>
      <c r="F229" s="1">
        <v>0.92764750377555649</v>
      </c>
      <c r="G229" s="7">
        <v>1997.1666666666665</v>
      </c>
      <c r="H229" s="1">
        <v>0.9923785150222999</v>
      </c>
      <c r="I229" s="7">
        <v>1997.1666666666665</v>
      </c>
      <c r="J229" s="1">
        <v>0.98134697607190646</v>
      </c>
      <c r="L229" s="1">
        <f t="shared" si="28"/>
        <v>0.96822618875616384</v>
      </c>
      <c r="M229" s="1"/>
      <c r="N229" s="1"/>
      <c r="Q229" s="7">
        <f t="shared" si="29"/>
        <v>-1.3019710550313188</v>
      </c>
      <c r="R229" s="7">
        <f t="shared" si="30"/>
        <v>-2.1321198072829217</v>
      </c>
      <c r="S229" s="7">
        <f t="shared" si="34"/>
        <v>-1.1069999848590919</v>
      </c>
      <c r="T229" s="7">
        <f t="shared" si="31"/>
        <v>-1.3510384766978594</v>
      </c>
      <c r="V229" s="7">
        <f t="shared" si="32"/>
        <v>-1.473032330967798</v>
      </c>
      <c r="AF229" s="7">
        <f t="shared" si="33"/>
        <v>-1.6783055811309304</v>
      </c>
    </row>
    <row r="230" spans="1:32" x14ac:dyDescent="0.35">
      <c r="A230" t="s">
        <v>36</v>
      </c>
      <c r="B230">
        <v>1997</v>
      </c>
      <c r="C230" s="7">
        <v>1997.0833333333333</v>
      </c>
      <c r="D230" s="1">
        <v>1.0077861244551829</v>
      </c>
      <c r="E230" s="7">
        <v>1997.0833333333333</v>
      </c>
      <c r="F230" s="1">
        <v>0.94766742411668947</v>
      </c>
      <c r="G230" s="7">
        <v>1997.0833333333333</v>
      </c>
      <c r="H230" s="1">
        <v>1.0078153321932197</v>
      </c>
      <c r="I230" s="7">
        <v>1997.0833333333333</v>
      </c>
      <c r="J230" s="1">
        <v>0.99533529100232454</v>
      </c>
      <c r="L230" s="1">
        <f t="shared" si="28"/>
        <v>0.98965104294185413</v>
      </c>
      <c r="M230" s="1"/>
      <c r="N230" s="1"/>
      <c r="Q230" s="7">
        <f t="shared" si="29"/>
        <v>-8.498196279709011E-2</v>
      </c>
      <c r="R230" s="7">
        <f t="shared" si="30"/>
        <v>-1.5155074987713633</v>
      </c>
      <c r="S230" s="7">
        <f t="shared" si="34"/>
        <v>-0.67476401150827525</v>
      </c>
      <c r="T230" s="7">
        <f t="shared" si="31"/>
        <v>-0.91389767527072963</v>
      </c>
      <c r="V230" s="7">
        <f t="shared" si="32"/>
        <v>-0.79728778708686454</v>
      </c>
      <c r="AF230" s="7">
        <f t="shared" si="33"/>
        <v>-0.95917304158620409</v>
      </c>
    </row>
    <row r="231" spans="1:32" x14ac:dyDescent="0.35">
      <c r="A231" t="s">
        <v>34</v>
      </c>
      <c r="B231">
        <v>1997</v>
      </c>
      <c r="C231" s="7">
        <v>1997</v>
      </c>
      <c r="D231" s="1">
        <v>1.057968179793251</v>
      </c>
      <c r="E231" s="7">
        <v>1997</v>
      </c>
      <c r="F231" s="1">
        <v>0.99230275263914003</v>
      </c>
      <c r="G231" s="7">
        <v>1997</v>
      </c>
      <c r="H231" s="1">
        <v>1.0578738668611847</v>
      </c>
      <c r="I231" s="7">
        <v>1997</v>
      </c>
      <c r="J231" s="1">
        <v>1.0375223432673835</v>
      </c>
      <c r="L231" s="1">
        <f t="shared" si="28"/>
        <v>1.0364167856402398</v>
      </c>
      <c r="M231" s="1"/>
      <c r="N231" s="1"/>
      <c r="Q231" s="7">
        <f t="shared" si="29"/>
        <v>1.5995328577216326</v>
      </c>
      <c r="R231" s="7">
        <f t="shared" si="30"/>
        <v>-0.14074214044714212</v>
      </c>
      <c r="S231" s="7">
        <f t="shared" si="34"/>
        <v>0.72689147337262472</v>
      </c>
      <c r="T231" s="7">
        <f t="shared" si="31"/>
        <v>0.40446568219800932</v>
      </c>
      <c r="V231" s="7">
        <f t="shared" si="32"/>
        <v>0.64753696821128115</v>
      </c>
      <c r="AF231" s="7">
        <f t="shared" si="33"/>
        <v>0.61053506559183079</v>
      </c>
    </row>
    <row r="232" spans="1:32" x14ac:dyDescent="0.35">
      <c r="A232" t="s">
        <v>33</v>
      </c>
      <c r="B232">
        <v>1996</v>
      </c>
      <c r="C232" s="7">
        <v>1996.9166666666665</v>
      </c>
      <c r="D232" s="1">
        <v>1.0721612199904393</v>
      </c>
      <c r="E232" s="7">
        <v>1996.9166666666665</v>
      </c>
      <c r="F232" s="1">
        <v>1.0188402098874321</v>
      </c>
      <c r="G232" s="7">
        <v>1996.9166666666665</v>
      </c>
      <c r="H232" s="1">
        <v>1.0771786826697871</v>
      </c>
      <c r="I232" s="7">
        <v>1996.9166666666665</v>
      </c>
      <c r="J232" s="1">
        <v>1.0448870128928247</v>
      </c>
      <c r="L232" s="1">
        <f t="shared" si="28"/>
        <v>1.0532667813601209</v>
      </c>
      <c r="M232" s="1"/>
      <c r="N232" s="1"/>
      <c r="Q232" s="7">
        <f t="shared" si="29"/>
        <v>2.0759658455559289</v>
      </c>
      <c r="R232" s="7">
        <f t="shared" si="30"/>
        <v>0.67660990177232749</v>
      </c>
      <c r="S232" s="7">
        <f t="shared" si="34"/>
        <v>1.2674326846210511</v>
      </c>
      <c r="T232" s="7">
        <f t="shared" si="31"/>
        <v>0.63461474577897958</v>
      </c>
      <c r="V232" s="7">
        <f t="shared" si="32"/>
        <v>1.1636557944320718</v>
      </c>
      <c r="AF232" s="7">
        <f t="shared" si="33"/>
        <v>1.176110920079984</v>
      </c>
    </row>
    <row r="233" spans="1:32" x14ac:dyDescent="0.35">
      <c r="A233" t="s">
        <v>35</v>
      </c>
      <c r="B233">
        <v>1996</v>
      </c>
      <c r="C233" s="7">
        <v>1996.8333333333333</v>
      </c>
      <c r="D233" s="1">
        <v>1.0742510904421754</v>
      </c>
      <c r="E233" s="7">
        <v>1996.8333333333333</v>
      </c>
      <c r="F233" s="1">
        <v>1.0163879223975452</v>
      </c>
      <c r="G233" s="7">
        <v>1996.8333333333333</v>
      </c>
      <c r="H233" s="1">
        <v>1.0807826863919487</v>
      </c>
      <c r="I233" s="7">
        <v>1996.8333333333333</v>
      </c>
      <c r="J233" s="1">
        <v>1.0424829558788342</v>
      </c>
      <c r="L233" s="1">
        <f t="shared" si="28"/>
        <v>1.053476163777626</v>
      </c>
      <c r="M233" s="1"/>
      <c r="N233" s="1"/>
      <c r="Q233" s="7">
        <f t="shared" si="29"/>
        <v>2.146118766260293</v>
      </c>
      <c r="R233" s="7">
        <f t="shared" si="30"/>
        <v>0.60107959872879368</v>
      </c>
      <c r="S233" s="7">
        <f t="shared" si="34"/>
        <v>1.3683459777928504</v>
      </c>
      <c r="T233" s="7">
        <f t="shared" si="31"/>
        <v>0.55948693982094577</v>
      </c>
      <c r="V233" s="7">
        <f t="shared" si="32"/>
        <v>1.1687578206507208</v>
      </c>
      <c r="AF233" s="7">
        <f t="shared" si="33"/>
        <v>1.1831389123515506</v>
      </c>
    </row>
    <row r="234" spans="1:32" x14ac:dyDescent="0.35">
      <c r="A234" t="s">
        <v>37</v>
      </c>
      <c r="B234">
        <v>1996</v>
      </c>
      <c r="C234" s="7">
        <v>1996.75</v>
      </c>
      <c r="D234" s="1">
        <v>1.0747797060412796</v>
      </c>
      <c r="E234" s="7">
        <v>1996.75</v>
      </c>
      <c r="F234" s="1">
        <v>1.0254571785222</v>
      </c>
      <c r="G234" s="7">
        <v>1996.75</v>
      </c>
      <c r="H234" s="1">
        <v>1.0842925928292018</v>
      </c>
      <c r="I234" s="7">
        <v>1996.75</v>
      </c>
      <c r="J234" s="1">
        <v>1.0337117998219587</v>
      </c>
      <c r="L234" s="1">
        <f t="shared" si="28"/>
        <v>1.0545603193036599</v>
      </c>
      <c r="M234" s="1"/>
      <c r="N234" s="1"/>
      <c r="Q234" s="7">
        <f t="shared" si="29"/>
        <v>2.1638633724755936</v>
      </c>
      <c r="R234" s="7">
        <f t="shared" si="30"/>
        <v>0.8804121265419147</v>
      </c>
      <c r="S234" s="7">
        <f t="shared" si="34"/>
        <v>1.4666245159447637</v>
      </c>
      <c r="T234" s="7">
        <f t="shared" si="31"/>
        <v>0.28538457601104084</v>
      </c>
      <c r="V234" s="7">
        <f t="shared" si="32"/>
        <v>1.1990711477433282</v>
      </c>
      <c r="AF234" s="7">
        <f t="shared" si="33"/>
        <v>1.2195289624280148</v>
      </c>
    </row>
    <row r="235" spans="1:32" x14ac:dyDescent="0.35">
      <c r="A235" t="s">
        <v>39</v>
      </c>
      <c r="B235">
        <v>1996</v>
      </c>
      <c r="C235" s="7">
        <v>1996.6666666666665</v>
      </c>
      <c r="D235" s="1">
        <v>1.0572720378362366</v>
      </c>
      <c r="E235" s="7">
        <v>1996.6666666666665</v>
      </c>
      <c r="F235" s="1">
        <v>1.0119033120901118</v>
      </c>
      <c r="G235" s="7">
        <v>1996.6666666666665</v>
      </c>
      <c r="H235" s="1">
        <v>1.0802018073794941</v>
      </c>
      <c r="I235" s="7">
        <v>1996.6666666666665</v>
      </c>
      <c r="J235" s="1">
        <v>1.0244959879488349</v>
      </c>
      <c r="L235" s="1">
        <f t="shared" si="28"/>
        <v>1.0434682863136693</v>
      </c>
      <c r="M235" s="1"/>
      <c r="N235" s="1"/>
      <c r="Q235" s="7">
        <f t="shared" si="29"/>
        <v>1.5761647147494957</v>
      </c>
      <c r="R235" s="7">
        <f t="shared" si="30"/>
        <v>0.46295387857996162</v>
      </c>
      <c r="S235" s="7">
        <f t="shared" si="34"/>
        <v>1.3520811738136747</v>
      </c>
      <c r="T235" s="7">
        <f t="shared" si="31"/>
        <v>-2.6134715063663543E-3</v>
      </c>
      <c r="V235" s="7">
        <f t="shared" si="32"/>
        <v>0.84714657390919146</v>
      </c>
      <c r="AF235" s="7">
        <f t="shared" si="33"/>
        <v>0.8472210912204966</v>
      </c>
    </row>
    <row r="236" spans="1:32" x14ac:dyDescent="0.35">
      <c r="A236" t="s">
        <v>41</v>
      </c>
      <c r="B236">
        <v>1996</v>
      </c>
      <c r="C236" s="7">
        <v>1996.5833333333333</v>
      </c>
      <c r="D236" s="1">
        <v>1.0441983077989725</v>
      </c>
      <c r="E236" s="7">
        <v>1996.5833333333333</v>
      </c>
      <c r="F236" s="1">
        <v>0.9974191705440546</v>
      </c>
      <c r="G236" s="7">
        <v>1996.5833333333333</v>
      </c>
      <c r="H236" s="1">
        <v>1.0646807928093556</v>
      </c>
      <c r="I236" s="7">
        <v>1996.5833333333333</v>
      </c>
      <c r="J236" s="1">
        <v>1.0073599663373709</v>
      </c>
      <c r="L236" s="1">
        <f t="shared" si="28"/>
        <v>1.0284145593724383</v>
      </c>
      <c r="M236" s="1"/>
      <c r="N236" s="1"/>
      <c r="Q236" s="7">
        <f t="shared" si="29"/>
        <v>1.1373048103699797</v>
      </c>
      <c r="R236" s="7">
        <f t="shared" si="30"/>
        <v>1.6843214634280942E-2</v>
      </c>
      <c r="S236" s="7">
        <f t="shared" si="34"/>
        <v>0.91748764550823492</v>
      </c>
      <c r="T236" s="7">
        <f t="shared" si="31"/>
        <v>-0.53812144782586291</v>
      </c>
      <c r="V236" s="7">
        <f t="shared" si="32"/>
        <v>0.38337855567165813</v>
      </c>
      <c r="AF236" s="7">
        <f t="shared" si="33"/>
        <v>0.34193761106076909</v>
      </c>
    </row>
    <row r="237" spans="1:32" x14ac:dyDescent="0.35">
      <c r="A237" t="s">
        <v>43</v>
      </c>
      <c r="B237">
        <v>1996</v>
      </c>
      <c r="C237" s="7">
        <v>1996.5</v>
      </c>
      <c r="D237" s="1">
        <v>1.0325471261829986</v>
      </c>
      <c r="E237" s="7">
        <v>1996.5</v>
      </c>
      <c r="F237" s="1">
        <v>0.9700075126500588</v>
      </c>
      <c r="G237" s="7">
        <v>1996.5</v>
      </c>
      <c r="H237" s="1">
        <v>1.0470523996888346</v>
      </c>
      <c r="I237" s="7">
        <v>1996.5</v>
      </c>
      <c r="J237" s="1">
        <v>0.99940785437729163</v>
      </c>
      <c r="L237" s="1">
        <f t="shared" si="28"/>
        <v>1.0122537232247959</v>
      </c>
      <c r="M237" s="1"/>
      <c r="N237" s="1"/>
      <c r="Q237" s="7">
        <f t="shared" si="29"/>
        <v>0.74619711307774472</v>
      </c>
      <c r="R237" s="7">
        <f t="shared" si="30"/>
        <v>-0.82743415341389204</v>
      </c>
      <c r="S237" s="7">
        <f t="shared" si="34"/>
        <v>0.42388682257348936</v>
      </c>
      <c r="T237" s="7">
        <f t="shared" si="31"/>
        <v>-0.7866283346495373</v>
      </c>
      <c r="V237" s="7">
        <f t="shared" si="32"/>
        <v>-0.11099463810304881</v>
      </c>
      <c r="AF237" s="7">
        <f t="shared" si="33"/>
        <v>-0.20050636728763505</v>
      </c>
    </row>
    <row r="238" spans="1:32" x14ac:dyDescent="0.35">
      <c r="A238" t="s">
        <v>44</v>
      </c>
      <c r="B238">
        <v>1996</v>
      </c>
      <c r="C238" s="7">
        <v>1996.4166666666665</v>
      </c>
      <c r="D238" s="1">
        <v>1.0193993058530058</v>
      </c>
      <c r="E238" s="7">
        <v>1996.4166666666665</v>
      </c>
      <c r="F238" s="1">
        <v>0.96947609393730239</v>
      </c>
      <c r="G238" s="7">
        <v>1996.4166666666665</v>
      </c>
      <c r="H238" s="1">
        <v>1.0317996039792854</v>
      </c>
      <c r="I238" s="7">
        <v>1996.4166666666665</v>
      </c>
      <c r="J238" s="1">
        <v>1.0010671250349243</v>
      </c>
      <c r="L238" s="1">
        <f t="shared" si="28"/>
        <v>1.0054355322011295</v>
      </c>
      <c r="M238" s="1"/>
      <c r="N238" s="1"/>
      <c r="Q238" s="7">
        <f t="shared" si="29"/>
        <v>0.30485014045605791</v>
      </c>
      <c r="R238" s="7">
        <f t="shared" si="30"/>
        <v>-0.84380181690482625</v>
      </c>
      <c r="S238" s="7">
        <f t="shared" si="34"/>
        <v>-3.1964891507570308E-3</v>
      </c>
      <c r="T238" s="7">
        <f t="shared" si="31"/>
        <v>-0.73477541965083215</v>
      </c>
      <c r="V238" s="7">
        <f t="shared" si="32"/>
        <v>-0.31923089631258939</v>
      </c>
      <c r="AF238" s="7">
        <f t="shared" si="33"/>
        <v>-0.42936127493154075</v>
      </c>
    </row>
    <row r="239" spans="1:32" x14ac:dyDescent="0.35">
      <c r="A239" t="s">
        <v>42</v>
      </c>
      <c r="B239">
        <v>1996</v>
      </c>
      <c r="C239" s="7">
        <v>1996.3333333333333</v>
      </c>
      <c r="D239" s="1">
        <v>1.0080896710063132</v>
      </c>
      <c r="E239" s="7">
        <v>1996.3333333333333</v>
      </c>
      <c r="F239" s="1">
        <v>0.96275333658719109</v>
      </c>
      <c r="G239" s="7">
        <v>1996.3333333333333</v>
      </c>
      <c r="H239" s="1">
        <v>1.0315755552404244</v>
      </c>
      <c r="I239" s="7">
        <v>1996.3333333333333</v>
      </c>
      <c r="J239" s="1">
        <v>1.0038509176209134</v>
      </c>
      <c r="L239" s="1">
        <f t="shared" si="28"/>
        <v>1.0015673701137104</v>
      </c>
      <c r="M239" s="1"/>
      <c r="N239" s="1"/>
      <c r="Q239" s="7">
        <f t="shared" si="29"/>
        <v>-7.4792490471742093E-2</v>
      </c>
      <c r="R239" s="7">
        <f t="shared" si="30"/>
        <v>-1.0508623275652087</v>
      </c>
      <c r="S239" s="7">
        <f t="shared" si="34"/>
        <v>-9.4699277519486019E-3</v>
      </c>
      <c r="T239" s="7">
        <f t="shared" si="31"/>
        <v>-0.64778071527797443</v>
      </c>
      <c r="V239" s="7">
        <f t="shared" si="32"/>
        <v>-0.44572636526671844</v>
      </c>
      <c r="AF239" s="7">
        <f t="shared" si="33"/>
        <v>-0.55919745496744466</v>
      </c>
    </row>
    <row r="240" spans="1:32" x14ac:dyDescent="0.35">
      <c r="A240" t="s">
        <v>40</v>
      </c>
      <c r="B240">
        <v>1996</v>
      </c>
      <c r="C240" s="7">
        <v>1996.25</v>
      </c>
      <c r="D240" s="1">
        <v>0.99199402362138556</v>
      </c>
      <c r="E240" s="7">
        <v>1996.25</v>
      </c>
      <c r="F240" s="1">
        <v>0.9579010472738434</v>
      </c>
      <c r="G240" s="7">
        <v>1996.25</v>
      </c>
      <c r="H240" s="1">
        <v>1.032119129344691</v>
      </c>
      <c r="I240" s="7">
        <v>1996.25</v>
      </c>
      <c r="J240" s="1">
        <v>1.0025272285066651</v>
      </c>
      <c r="L240" s="1">
        <f t="shared" si="28"/>
        <v>0.99613535718664625</v>
      </c>
      <c r="M240" s="1"/>
      <c r="N240" s="1"/>
      <c r="Q240" s="7">
        <f t="shared" si="29"/>
        <v>-0.6150923323792904</v>
      </c>
      <c r="R240" s="7">
        <f t="shared" si="30"/>
        <v>-1.2003125383596018</v>
      </c>
      <c r="S240" s="7">
        <f t="shared" si="34"/>
        <v>5.7503264911702443E-3</v>
      </c>
      <c r="T240" s="7">
        <f t="shared" si="31"/>
        <v>-0.68914656406828145</v>
      </c>
      <c r="V240" s="7">
        <f t="shared" si="32"/>
        <v>-0.62470027707900089</v>
      </c>
      <c r="AF240" s="7">
        <f t="shared" si="33"/>
        <v>-0.74152482192280555</v>
      </c>
    </row>
    <row r="241" spans="1:32" x14ac:dyDescent="0.35">
      <c r="A241" t="s">
        <v>38</v>
      </c>
      <c r="B241">
        <v>1996</v>
      </c>
      <c r="C241" s="7">
        <v>1996.1666666666665</v>
      </c>
      <c r="D241" s="1">
        <v>0.98889320784086554</v>
      </c>
      <c r="E241" s="7">
        <v>1996.1666666666665</v>
      </c>
      <c r="F241" s="1">
        <v>0.96687811644846655</v>
      </c>
      <c r="G241" s="7">
        <v>1996.1666666666665</v>
      </c>
      <c r="H241" s="1">
        <v>1.035953919160747</v>
      </c>
      <c r="I241" s="7">
        <v>1996.1666666666665</v>
      </c>
      <c r="J241" s="1">
        <v>1.0048392392177714</v>
      </c>
      <c r="L241" s="1">
        <f t="shared" si="28"/>
        <v>0.9991411206669627</v>
      </c>
      <c r="M241" s="1"/>
      <c r="N241" s="1"/>
      <c r="Q241" s="7">
        <f t="shared" si="29"/>
        <v>-0.71918073814097816</v>
      </c>
      <c r="R241" s="7">
        <f t="shared" si="30"/>
        <v>-0.92381936290678335</v>
      </c>
      <c r="S241" s="7">
        <f t="shared" si="34"/>
        <v>0.11312570642773266</v>
      </c>
      <c r="T241" s="7">
        <f t="shared" si="31"/>
        <v>-0.61689524429256082</v>
      </c>
      <c r="V241" s="7">
        <f t="shared" si="32"/>
        <v>-0.53669240972814736</v>
      </c>
      <c r="AF241" s="7">
        <f t="shared" si="33"/>
        <v>-0.64063534533003308</v>
      </c>
    </row>
    <row r="242" spans="1:32" x14ac:dyDescent="0.35">
      <c r="A242" t="s">
        <v>36</v>
      </c>
      <c r="B242">
        <v>1996</v>
      </c>
      <c r="C242" s="7">
        <v>1996.0833333333333</v>
      </c>
      <c r="D242" s="1">
        <v>1.0225852119001657</v>
      </c>
      <c r="E242" s="7">
        <v>1996.0833333333333</v>
      </c>
      <c r="F242" s="1">
        <v>0.99423106179607523</v>
      </c>
      <c r="G242" s="7">
        <v>1996.0833333333333</v>
      </c>
      <c r="H242" s="1">
        <v>1.056873593616001</v>
      </c>
      <c r="I242" s="7">
        <v>1996.0833333333333</v>
      </c>
      <c r="J242" s="1">
        <v>1.0486598793446167</v>
      </c>
      <c r="L242" s="1">
        <f t="shared" si="28"/>
        <v>1.0305874366642147</v>
      </c>
      <c r="M242" s="1"/>
      <c r="N242" s="1"/>
      <c r="Q242" s="7">
        <f t="shared" si="29"/>
        <v>0.41179486237042695</v>
      </c>
      <c r="R242" s="7">
        <f t="shared" si="30"/>
        <v>-8.1350337656656932E-2</v>
      </c>
      <c r="S242" s="7">
        <f t="shared" si="34"/>
        <v>0.69888349251998927</v>
      </c>
      <c r="T242" s="7">
        <f t="shared" si="31"/>
        <v>0.75251842986229067</v>
      </c>
      <c r="V242" s="7">
        <f t="shared" si="32"/>
        <v>0.4454616117740125</v>
      </c>
      <c r="AF242" s="7">
        <f t="shared" si="33"/>
        <v>0.41487097860722755</v>
      </c>
    </row>
    <row r="243" spans="1:32" x14ac:dyDescent="0.35">
      <c r="A243" t="s">
        <v>34</v>
      </c>
      <c r="B243">
        <v>1996</v>
      </c>
      <c r="C243" s="7">
        <v>1996</v>
      </c>
      <c r="D243" s="1">
        <v>1.071827141414875</v>
      </c>
      <c r="E243" s="7">
        <v>1996</v>
      </c>
      <c r="F243" s="1">
        <v>1.0255047740988501</v>
      </c>
      <c r="G243" s="7">
        <v>1996</v>
      </c>
      <c r="H243" s="1">
        <v>1.0802003479173037</v>
      </c>
      <c r="I243" s="7">
        <v>1996</v>
      </c>
      <c r="J243" s="1">
        <v>1.0688436578471441</v>
      </c>
      <c r="L243" s="1">
        <f t="shared" si="28"/>
        <v>1.0615939803195431</v>
      </c>
      <c r="M243" s="1"/>
      <c r="N243" s="1"/>
      <c r="Q243" s="7">
        <f t="shared" si="29"/>
        <v>2.0647514720520004</v>
      </c>
      <c r="R243" s="7">
        <f t="shared" si="30"/>
        <v>0.88187806735951502</v>
      </c>
      <c r="S243" s="7">
        <f t="shared" si="34"/>
        <v>1.3520403083908696</v>
      </c>
      <c r="T243" s="7">
        <f t="shared" si="31"/>
        <v>1.3832701075526639</v>
      </c>
      <c r="V243" s="7">
        <f t="shared" si="32"/>
        <v>1.4204849888387623</v>
      </c>
      <c r="AF243" s="7">
        <f t="shared" si="33"/>
        <v>1.4556161938653784</v>
      </c>
    </row>
    <row r="244" spans="1:32" x14ac:dyDescent="0.35">
      <c r="A244" t="s">
        <v>33</v>
      </c>
      <c r="B244">
        <v>1995</v>
      </c>
      <c r="C244" s="7">
        <v>1995.9166666666665</v>
      </c>
      <c r="D244" s="1">
        <v>1.0792894873033161</v>
      </c>
      <c r="E244" s="7">
        <v>1995.9166666666665</v>
      </c>
      <c r="F244" s="1">
        <v>1.034500993171696</v>
      </c>
      <c r="G244" s="7">
        <v>1995.9166666666665</v>
      </c>
      <c r="H244" s="1">
        <v>1.0879885392943527</v>
      </c>
      <c r="I244" s="7">
        <v>1995.9166666666665</v>
      </c>
      <c r="J244" s="1">
        <v>1.0691107953878605</v>
      </c>
      <c r="L244" s="1">
        <f t="shared" si="28"/>
        <v>1.0677224537893064</v>
      </c>
      <c r="M244" s="1"/>
      <c r="N244" s="1"/>
      <c r="Q244" s="7">
        <f t="shared" si="29"/>
        <v>2.3152480322313527</v>
      </c>
      <c r="R244" s="7">
        <f t="shared" si="30"/>
        <v>1.1589610584933985</v>
      </c>
      <c r="S244" s="7">
        <f t="shared" si="34"/>
        <v>1.5701122362519306</v>
      </c>
      <c r="T244" s="7">
        <f t="shared" si="31"/>
        <v>1.3916182695164825</v>
      </c>
      <c r="V244" s="7">
        <f t="shared" si="32"/>
        <v>1.6089848991232911</v>
      </c>
      <c r="AF244" s="7">
        <f t="shared" si="33"/>
        <v>1.6613204965246207</v>
      </c>
    </row>
    <row r="245" spans="1:32" x14ac:dyDescent="0.35">
      <c r="A245" t="s">
        <v>35</v>
      </c>
      <c r="B245">
        <v>1995</v>
      </c>
      <c r="C245" s="7">
        <v>1995.8333333333333</v>
      </c>
      <c r="D245" s="1">
        <v>1.0695639575240945</v>
      </c>
      <c r="E245" s="7">
        <v>1995.8333333333333</v>
      </c>
      <c r="F245" s="1">
        <v>1.0252394194544829</v>
      </c>
      <c r="G245" s="7">
        <v>1995.8333333333333</v>
      </c>
      <c r="H245" s="1">
        <v>1.0842620833191738</v>
      </c>
      <c r="I245" s="7">
        <v>1995.8333333333333</v>
      </c>
      <c r="J245" s="1">
        <v>1.066861647505843</v>
      </c>
      <c r="L245" s="1">
        <f t="shared" si="28"/>
        <v>1.0614817769508986</v>
      </c>
      <c r="M245" s="1"/>
      <c r="N245" s="1"/>
      <c r="Q245" s="7">
        <f t="shared" si="29"/>
        <v>1.9887807534376329</v>
      </c>
      <c r="R245" s="7">
        <f t="shared" si="30"/>
        <v>0.87370516072205318</v>
      </c>
      <c r="S245" s="7">
        <f t="shared" si="34"/>
        <v>1.4657702395989756</v>
      </c>
      <c r="T245" s="7">
        <f t="shared" si="31"/>
        <v>1.3213314399330811</v>
      </c>
      <c r="V245" s="7">
        <f t="shared" si="32"/>
        <v>1.4123968984229356</v>
      </c>
      <c r="AF245" s="7">
        <f t="shared" si="33"/>
        <v>1.4518500495201501</v>
      </c>
    </row>
    <row r="246" spans="1:32" x14ac:dyDescent="0.35">
      <c r="A246" t="s">
        <v>37</v>
      </c>
      <c r="B246">
        <v>1995</v>
      </c>
      <c r="C246" s="7">
        <v>1995.75</v>
      </c>
      <c r="D246" s="1">
        <v>1.0541378500955578</v>
      </c>
      <c r="E246" s="7">
        <v>1995.75</v>
      </c>
      <c r="F246" s="1">
        <v>1.0210750526823495</v>
      </c>
      <c r="G246" s="7">
        <v>1995.75</v>
      </c>
      <c r="H246" s="1">
        <v>1.0756247403345114</v>
      </c>
      <c r="I246" s="7">
        <v>1995.75</v>
      </c>
      <c r="J246" s="1">
        <v>1.0486875033825775</v>
      </c>
      <c r="L246" s="1">
        <f t="shared" si="28"/>
        <v>1.049881286623749</v>
      </c>
      <c r="M246" s="1"/>
      <c r="N246" s="1"/>
      <c r="Q246" s="7">
        <f t="shared" si="29"/>
        <v>1.470956076643827</v>
      </c>
      <c r="R246" s="7">
        <f t="shared" si="30"/>
        <v>0.74544292165718606</v>
      </c>
      <c r="S246" s="7">
        <f t="shared" si="34"/>
        <v>1.2239217865918739</v>
      </c>
      <c r="T246" s="7">
        <f t="shared" si="31"/>
        <v>0.75338169281804557</v>
      </c>
      <c r="V246" s="7">
        <f t="shared" si="32"/>
        <v>1.0484256194277333</v>
      </c>
      <c r="AF246" s="7">
        <f t="shared" si="33"/>
        <v>1.0624756343374806</v>
      </c>
    </row>
    <row r="247" spans="1:32" x14ac:dyDescent="0.35">
      <c r="A247" t="s">
        <v>39</v>
      </c>
      <c r="B247">
        <v>1995</v>
      </c>
      <c r="C247" s="7">
        <v>1995.6666666666665</v>
      </c>
      <c r="D247" s="1">
        <v>1.0457316641850549</v>
      </c>
      <c r="E247" s="7">
        <v>1995.6666666666665</v>
      </c>
      <c r="F247" s="1">
        <v>0.99829245574223247</v>
      </c>
      <c r="G247" s="7">
        <v>1995.6666666666665</v>
      </c>
      <c r="H247" s="1">
        <v>1.0685748630891951</v>
      </c>
      <c r="I247" s="7">
        <v>1995.6666666666665</v>
      </c>
      <c r="J247" s="1">
        <v>1.0196233713655081</v>
      </c>
      <c r="L247" s="1">
        <f t="shared" si="28"/>
        <v>1.0330555885954977</v>
      </c>
      <c r="M247" s="1"/>
      <c r="N247" s="1"/>
      <c r="Q247" s="7">
        <f t="shared" si="29"/>
        <v>1.1887766271397771</v>
      </c>
      <c r="R247" s="7">
        <f t="shared" si="30"/>
        <v>4.3740344735796265E-2</v>
      </c>
      <c r="S247" s="7">
        <f t="shared" si="34"/>
        <v>1.026522897987205</v>
      </c>
      <c r="T247" s="7">
        <f t="shared" si="31"/>
        <v>-0.15488481575890464</v>
      </c>
      <c r="V247" s="7">
        <f t="shared" si="32"/>
        <v>0.52603876352596846</v>
      </c>
      <c r="AF247" s="7">
        <f t="shared" si="33"/>
        <v>0.49771534015771418</v>
      </c>
    </row>
    <row r="248" spans="1:32" x14ac:dyDescent="0.35">
      <c r="A248" t="s">
        <v>41</v>
      </c>
      <c r="B248">
        <v>1995</v>
      </c>
      <c r="C248" s="7">
        <v>1995.5833333333333</v>
      </c>
      <c r="D248" s="1">
        <v>1.0352143457681313</v>
      </c>
      <c r="E248" s="7">
        <v>1995.5833333333333</v>
      </c>
      <c r="F248" s="1">
        <v>0.9844078219429776</v>
      </c>
      <c r="G248" s="7">
        <v>1995.5833333333333</v>
      </c>
      <c r="H248" s="1">
        <v>1.0554572091333601</v>
      </c>
      <c r="I248" s="7">
        <v>1995.5833333333333</v>
      </c>
      <c r="J248" s="1">
        <v>0.99425263177519851</v>
      </c>
      <c r="L248" s="1">
        <f t="shared" si="28"/>
        <v>1.017333002154917</v>
      </c>
      <c r="M248" s="1"/>
      <c r="N248" s="1"/>
      <c r="Q248" s="7">
        <f t="shared" si="29"/>
        <v>0.83573053075993164</v>
      </c>
      <c r="R248" s="7">
        <f t="shared" si="30"/>
        <v>-0.38390551768083897</v>
      </c>
      <c r="S248" s="7">
        <f t="shared" si="34"/>
        <v>0.65922425974455745</v>
      </c>
      <c r="T248" s="7">
        <f t="shared" si="31"/>
        <v>-0.94773123739544241</v>
      </c>
      <c r="V248" s="7">
        <f t="shared" si="32"/>
        <v>4.0829508857051916E-2</v>
      </c>
      <c r="AF248" s="7">
        <f t="shared" si="33"/>
        <v>-3.0018637270148807E-2</v>
      </c>
    </row>
    <row r="249" spans="1:32" x14ac:dyDescent="0.35">
      <c r="A249" t="s">
        <v>43</v>
      </c>
      <c r="B249">
        <v>1995</v>
      </c>
      <c r="C249" s="7">
        <v>1995.5</v>
      </c>
      <c r="D249" s="1">
        <v>1.0171974552323597</v>
      </c>
      <c r="E249" s="7">
        <v>1995.5</v>
      </c>
      <c r="F249" s="1">
        <v>0.9751807550053565</v>
      </c>
      <c r="G249" s="7">
        <v>1995.5</v>
      </c>
      <c r="H249" s="1">
        <v>1.0504504051032617</v>
      </c>
      <c r="I249" s="7">
        <v>1995.5</v>
      </c>
      <c r="J249" s="1">
        <v>0.98796294056203993</v>
      </c>
      <c r="L249" s="1">
        <f t="shared" si="28"/>
        <v>1.0076978889757544</v>
      </c>
      <c r="M249" s="1"/>
      <c r="N249" s="1"/>
      <c r="Q249" s="7">
        <f t="shared" si="29"/>
        <v>0.23093826143756502</v>
      </c>
      <c r="R249" s="7">
        <f t="shared" si="30"/>
        <v>-0.66809860877458882</v>
      </c>
      <c r="S249" s="7">
        <f t="shared" si="34"/>
        <v>0.51903209517042737</v>
      </c>
      <c r="T249" s="7">
        <f t="shared" si="31"/>
        <v>-1.1442867675880377</v>
      </c>
      <c r="V249" s="7">
        <f t="shared" si="32"/>
        <v>-0.26560375493865851</v>
      </c>
      <c r="AF249" s="7">
        <f t="shared" si="33"/>
        <v>-0.35342449801854392</v>
      </c>
    </row>
    <row r="250" spans="1:32" x14ac:dyDescent="0.35">
      <c r="A250" t="s">
        <v>44</v>
      </c>
      <c r="B250">
        <v>1995</v>
      </c>
      <c r="C250" s="7">
        <v>1995.4166666666665</v>
      </c>
      <c r="D250" s="1">
        <v>1.0061403153607369</v>
      </c>
      <c r="E250" s="7">
        <v>1995.4166666666665</v>
      </c>
      <c r="F250" s="1">
        <v>0.97050486368956546</v>
      </c>
      <c r="G250" s="7">
        <v>1995.4166666666665</v>
      </c>
      <c r="H250" s="1">
        <v>1.0480041649788232</v>
      </c>
      <c r="I250" s="7">
        <v>1995.4166666666665</v>
      </c>
      <c r="J250" s="1">
        <v>0.98845161715189411</v>
      </c>
      <c r="L250" s="1">
        <f t="shared" si="28"/>
        <v>1.0032752402952549</v>
      </c>
      <c r="M250" s="1"/>
      <c r="N250" s="1"/>
      <c r="Q250" s="7">
        <f t="shared" si="29"/>
        <v>-0.14022860011917007</v>
      </c>
      <c r="R250" s="7">
        <f t="shared" si="30"/>
        <v>-0.81211577215236763</v>
      </c>
      <c r="S250" s="7">
        <f t="shared" si="34"/>
        <v>0.45053656467801728</v>
      </c>
      <c r="T250" s="7">
        <f t="shared" si="31"/>
        <v>-1.1290154159498922</v>
      </c>
      <c r="V250" s="7">
        <f t="shared" si="32"/>
        <v>-0.40770580588585315</v>
      </c>
      <c r="AF250" s="7">
        <f t="shared" si="33"/>
        <v>-0.50187220970686697</v>
      </c>
    </row>
    <row r="251" spans="1:32" x14ac:dyDescent="0.35">
      <c r="A251" t="s">
        <v>42</v>
      </c>
      <c r="B251">
        <v>1995</v>
      </c>
      <c r="C251" s="7">
        <v>1995.3333333333333</v>
      </c>
      <c r="D251" s="1">
        <v>1.0000230470257525</v>
      </c>
      <c r="E251" s="7">
        <v>1995.3333333333333</v>
      </c>
      <c r="F251" s="1">
        <v>0.96869210292458963</v>
      </c>
      <c r="G251" s="7">
        <v>1995.3333333333333</v>
      </c>
      <c r="H251" s="1">
        <v>1.0501678794061</v>
      </c>
      <c r="I251" s="7">
        <v>1995.3333333333333</v>
      </c>
      <c r="J251" s="1">
        <v>0.98633475938656756</v>
      </c>
      <c r="L251" s="1">
        <f t="shared" si="28"/>
        <v>1.0013044471857524</v>
      </c>
      <c r="M251" s="1"/>
      <c r="N251" s="1"/>
      <c r="Q251" s="7">
        <f t="shared" si="29"/>
        <v>-0.34557350084016542</v>
      </c>
      <c r="R251" s="7">
        <f t="shared" si="30"/>
        <v>-0.86794869161580579</v>
      </c>
      <c r="S251" s="7">
        <f t="shared" si="34"/>
        <v>0.51112128244542143</v>
      </c>
      <c r="T251" s="7">
        <f t="shared" si="31"/>
        <v>-1.1951681230232689</v>
      </c>
      <c r="V251" s="7">
        <f t="shared" si="32"/>
        <v>-0.47439225825845466</v>
      </c>
      <c r="AF251" s="7">
        <f t="shared" si="33"/>
        <v>-0.56802255273699154</v>
      </c>
    </row>
    <row r="252" spans="1:32" x14ac:dyDescent="0.35">
      <c r="A252" t="s">
        <v>40</v>
      </c>
      <c r="B252">
        <v>1995</v>
      </c>
      <c r="C252" s="7">
        <v>1995.25</v>
      </c>
      <c r="D252" s="1">
        <v>0.98302805464930088</v>
      </c>
      <c r="E252" s="7">
        <v>1995.25</v>
      </c>
      <c r="F252" s="1">
        <v>0.97061947559165662</v>
      </c>
      <c r="G252" s="7">
        <v>1995.25</v>
      </c>
      <c r="H252" s="1">
        <v>1.0459120054473219</v>
      </c>
      <c r="I252" s="7">
        <v>1995.25</v>
      </c>
      <c r="J252" s="1">
        <v>0.98400949589511444</v>
      </c>
      <c r="L252" s="1">
        <f t="shared" si="28"/>
        <v>0.99589225789584845</v>
      </c>
      <c r="M252" s="1"/>
      <c r="N252" s="1"/>
      <c r="Q252" s="7">
        <f t="shared" si="29"/>
        <v>-0.91606261970688629</v>
      </c>
      <c r="R252" s="7">
        <f t="shared" si="30"/>
        <v>-0.80858573265535061</v>
      </c>
      <c r="S252" s="7">
        <f t="shared" si="34"/>
        <v>0.39195540759809705</v>
      </c>
      <c r="T252" s="7">
        <f t="shared" si="31"/>
        <v>-1.2678335978312976</v>
      </c>
      <c r="V252" s="7">
        <f t="shared" si="32"/>
        <v>-0.65013163564885934</v>
      </c>
      <c r="AF252" s="7">
        <f t="shared" si="33"/>
        <v>-0.74968453254850054</v>
      </c>
    </row>
    <row r="253" spans="1:32" x14ac:dyDescent="0.35">
      <c r="A253" t="s">
        <v>38</v>
      </c>
      <c r="B253">
        <v>1995</v>
      </c>
      <c r="C253" s="7">
        <v>1995.1666666666665</v>
      </c>
      <c r="D253" s="1">
        <v>0.97857631523678623</v>
      </c>
      <c r="E253" s="7">
        <v>1995.1666666666665</v>
      </c>
      <c r="F253" s="1">
        <v>0.96968398473797268</v>
      </c>
      <c r="G253" s="7">
        <v>1995.1666666666665</v>
      </c>
      <c r="H253" s="1">
        <v>1.0531256233609725</v>
      </c>
      <c r="I253" s="7">
        <v>1995.1666666666665</v>
      </c>
      <c r="J253" s="1">
        <v>0.99708554681408801</v>
      </c>
      <c r="L253" s="1">
        <f t="shared" si="28"/>
        <v>0.99961786753745485</v>
      </c>
      <c r="M253" s="1"/>
      <c r="N253" s="1"/>
      <c r="Q253" s="7">
        <f t="shared" si="29"/>
        <v>-1.0654989265091601</v>
      </c>
      <c r="R253" s="7">
        <f t="shared" si="30"/>
        <v>-0.83739879309976883</v>
      </c>
      <c r="S253" s="7">
        <f t="shared" si="34"/>
        <v>0.59393908893374037</v>
      </c>
      <c r="T253" s="7">
        <f t="shared" si="31"/>
        <v>-0.85920143544036809</v>
      </c>
      <c r="V253" s="7">
        <f t="shared" si="32"/>
        <v>-0.54204001652888922</v>
      </c>
      <c r="AF253" s="7">
        <f t="shared" si="33"/>
        <v>-0.62463317398615503</v>
      </c>
    </row>
    <row r="254" spans="1:32" x14ac:dyDescent="0.35">
      <c r="A254" t="s">
        <v>36</v>
      </c>
      <c r="B254">
        <v>1995</v>
      </c>
      <c r="C254" s="7">
        <v>1995.0833333333333</v>
      </c>
      <c r="D254" s="1">
        <v>0.99669649933175697</v>
      </c>
      <c r="E254" s="7">
        <v>1995.0833333333333</v>
      </c>
      <c r="F254" s="1">
        <v>0.99659961011012344</v>
      </c>
      <c r="G254" s="7">
        <v>1995.0833333333333</v>
      </c>
      <c r="H254" s="1">
        <v>1.0578492606906345</v>
      </c>
      <c r="I254" s="7">
        <v>1995.0833333333333</v>
      </c>
      <c r="J254" s="1">
        <v>1.0472906952245942</v>
      </c>
      <c r="L254" s="1">
        <f t="shared" si="28"/>
        <v>1.0246090163392774</v>
      </c>
      <c r="M254" s="1"/>
      <c r="N254" s="1"/>
      <c r="Q254" s="7">
        <f t="shared" si="29"/>
        <v>-0.45723929160834398</v>
      </c>
      <c r="R254" s="7">
        <f t="shared" si="30"/>
        <v>-8.3991960506774304E-3</v>
      </c>
      <c r="S254" s="7">
        <f t="shared" si="34"/>
        <v>0.72620249247970814</v>
      </c>
      <c r="T254" s="7">
        <f t="shared" si="31"/>
        <v>0.70973084275796938</v>
      </c>
      <c r="V254" s="7">
        <f t="shared" si="32"/>
        <v>0.24257371189466403</v>
      </c>
      <c r="AF254" s="7">
        <f t="shared" si="33"/>
        <v>0.21420326094268943</v>
      </c>
    </row>
    <row r="255" spans="1:32" x14ac:dyDescent="0.35">
      <c r="A255" t="s">
        <v>34</v>
      </c>
      <c r="B255">
        <v>1995</v>
      </c>
      <c r="C255" s="7">
        <v>1995</v>
      </c>
      <c r="D255" s="1">
        <v>1.0498933007340383</v>
      </c>
      <c r="E255" s="7">
        <v>1995</v>
      </c>
      <c r="F255" s="1">
        <v>1.0264071519776832</v>
      </c>
      <c r="G255" s="7">
        <v>1995</v>
      </c>
      <c r="H255" s="1">
        <v>1.087505126367933</v>
      </c>
      <c r="I255" s="7">
        <v>1995</v>
      </c>
      <c r="J255" s="1">
        <v>1.0502270150613002</v>
      </c>
      <c r="L255" s="1">
        <f t="shared" si="28"/>
        <v>1.0535081485352387</v>
      </c>
      <c r="M255" s="1"/>
      <c r="N255" s="1"/>
      <c r="Q255" s="7">
        <f t="shared" si="29"/>
        <v>1.32847474028296</v>
      </c>
      <c r="R255" s="7">
        <f t="shared" si="30"/>
        <v>0.90967125022617246</v>
      </c>
      <c r="S255" s="7">
        <f t="shared" si="34"/>
        <v>1.5565765148355351</v>
      </c>
      <c r="T255" s="7">
        <f t="shared" si="31"/>
        <v>0.80149208870138633</v>
      </c>
      <c r="V255" s="7">
        <f t="shared" si="32"/>
        <v>1.1490536485115135</v>
      </c>
      <c r="AF255" s="7">
        <f t="shared" si="33"/>
        <v>1.1842124916519918</v>
      </c>
    </row>
    <row r="256" spans="1:32" x14ac:dyDescent="0.35">
      <c r="A256" t="s">
        <v>33</v>
      </c>
      <c r="B256">
        <v>1994</v>
      </c>
      <c r="C256" s="7">
        <v>1994.9166666666665</v>
      </c>
      <c r="D256" s="1">
        <v>1.0550126120365366</v>
      </c>
      <c r="E256" s="7">
        <v>1994.9166666666665</v>
      </c>
      <c r="F256" s="1">
        <v>1.0238791706183272</v>
      </c>
      <c r="G256" s="7">
        <v>1994.9166666666665</v>
      </c>
      <c r="H256" s="1">
        <v>1.119515093194724</v>
      </c>
      <c r="I256" s="7">
        <v>1994.9166666666665</v>
      </c>
      <c r="J256" s="1">
        <v>1.0539322440887617</v>
      </c>
      <c r="L256" s="1">
        <f t="shared" si="28"/>
        <v>1.0630847799845875</v>
      </c>
      <c r="M256" s="1"/>
      <c r="N256" s="1"/>
      <c r="Q256" s="7">
        <f t="shared" si="29"/>
        <v>1.5003201480051422</v>
      </c>
      <c r="R256" s="7">
        <f t="shared" si="30"/>
        <v>0.83180958068376298</v>
      </c>
      <c r="S256" s="7">
        <f t="shared" si="34"/>
        <v>2.4528661459888812</v>
      </c>
      <c r="T256" s="7">
        <f t="shared" si="31"/>
        <v>0.91728207445681709</v>
      </c>
      <c r="V256" s="7">
        <f t="shared" si="32"/>
        <v>1.4255694872836508</v>
      </c>
      <c r="AF256" s="7">
        <f t="shared" si="33"/>
        <v>1.5056553931889309</v>
      </c>
    </row>
    <row r="257" spans="1:32" x14ac:dyDescent="0.35">
      <c r="A257" t="s">
        <v>35</v>
      </c>
      <c r="B257">
        <v>1994</v>
      </c>
      <c r="C257" s="7">
        <v>1994.8333333333333</v>
      </c>
      <c r="D257" s="1">
        <v>1.036457668318332</v>
      </c>
      <c r="E257" s="7">
        <v>1994.8333333333333</v>
      </c>
      <c r="F257" s="1">
        <v>1.0099467379223659</v>
      </c>
      <c r="G257" s="7">
        <v>1994.8333333333333</v>
      </c>
      <c r="H257" s="1">
        <v>1.1158779608440594</v>
      </c>
      <c r="I257" s="7">
        <v>1994.8333333333333</v>
      </c>
      <c r="J257" s="1">
        <v>1.0325019316642987</v>
      </c>
      <c r="L257" s="1">
        <f t="shared" si="28"/>
        <v>1.048696074687264</v>
      </c>
      <c r="M257" s="1"/>
      <c r="N257" s="1"/>
      <c r="Q257" s="7">
        <f t="shared" si="29"/>
        <v>0.87746647099571007</v>
      </c>
      <c r="R257" s="7">
        <f t="shared" si="30"/>
        <v>0.40269151520436486</v>
      </c>
      <c r="S257" s="7">
        <f t="shared" si="34"/>
        <v>2.3510252402899536</v>
      </c>
      <c r="T257" s="7">
        <f t="shared" si="31"/>
        <v>0.24757568060859436</v>
      </c>
      <c r="V257" s="7">
        <f t="shared" si="32"/>
        <v>0.9696897267746557</v>
      </c>
      <c r="AF257" s="7">
        <f t="shared" si="33"/>
        <v>1.022693591370184</v>
      </c>
    </row>
    <row r="258" spans="1:32" x14ac:dyDescent="0.35">
      <c r="A258" t="s">
        <v>37</v>
      </c>
      <c r="B258">
        <v>1994</v>
      </c>
      <c r="C258" s="7">
        <v>1994.75</v>
      </c>
      <c r="D258" s="1">
        <v>1.037233230978732</v>
      </c>
      <c r="E258" s="7">
        <v>1994.75</v>
      </c>
      <c r="F258" s="1">
        <v>1.0037782426240507</v>
      </c>
      <c r="G258" s="7">
        <v>1994.75</v>
      </c>
      <c r="H258" s="1">
        <v>1.1095288889592296</v>
      </c>
      <c r="I258" s="7">
        <v>1994.75</v>
      </c>
      <c r="J258" s="1">
        <v>1.0103728761196491</v>
      </c>
      <c r="L258" s="1">
        <f t="shared" si="28"/>
        <v>1.0402283096704155</v>
      </c>
      <c r="M258" s="1"/>
      <c r="N258" s="1"/>
      <c r="Q258" s="7">
        <f t="shared" si="29"/>
        <v>0.90350061381595625</v>
      </c>
      <c r="R258" s="7">
        <f t="shared" si="30"/>
        <v>0.21270224146474834</v>
      </c>
      <c r="S258" s="7">
        <f t="shared" si="34"/>
        <v>2.1732491329727357</v>
      </c>
      <c r="T258" s="7">
        <f t="shared" si="31"/>
        <v>-0.44396673345145865</v>
      </c>
      <c r="V258" s="7">
        <f t="shared" si="32"/>
        <v>0.71137131370049544</v>
      </c>
      <c r="AF258" s="7">
        <f t="shared" si="33"/>
        <v>0.7384701699150481</v>
      </c>
    </row>
    <row r="259" spans="1:32" x14ac:dyDescent="0.35">
      <c r="A259" t="s">
        <v>39</v>
      </c>
      <c r="B259">
        <v>1994</v>
      </c>
      <c r="C259" s="7">
        <v>1994.6666666666665</v>
      </c>
      <c r="D259" s="1">
        <v>1.0283286951448791</v>
      </c>
      <c r="E259" s="7">
        <v>1994.6666666666665</v>
      </c>
      <c r="F259" s="1">
        <v>0.99942891376693277</v>
      </c>
      <c r="G259" s="7">
        <v>1994.6666666666665</v>
      </c>
      <c r="H259" s="1">
        <v>1.0884125521606947</v>
      </c>
      <c r="I259" s="7">
        <v>1994.6666666666665</v>
      </c>
      <c r="J259" s="1">
        <v>0.9970348301365376</v>
      </c>
      <c r="L259" s="1">
        <f t="shared" si="28"/>
        <v>1.0283012478022611</v>
      </c>
      <c r="M259" s="1"/>
      <c r="N259" s="1"/>
      <c r="Q259" s="7">
        <f t="shared" si="29"/>
        <v>0.60459251846366524</v>
      </c>
      <c r="R259" s="7">
        <f t="shared" si="30"/>
        <v>7.8743181620075431E-2</v>
      </c>
      <c r="S259" s="7">
        <f t="shared" si="34"/>
        <v>1.5819847363902262</v>
      </c>
      <c r="T259" s="7">
        <f t="shared" si="31"/>
        <v>-0.86078635322213015</v>
      </c>
      <c r="V259" s="7">
        <f t="shared" si="32"/>
        <v>0.35113352081295912</v>
      </c>
      <c r="AF259" s="7">
        <f t="shared" si="33"/>
        <v>0.33813426955304549</v>
      </c>
    </row>
    <row r="260" spans="1:32" x14ac:dyDescent="0.35">
      <c r="A260" t="s">
        <v>41</v>
      </c>
      <c r="B260">
        <v>1994</v>
      </c>
      <c r="C260" s="7">
        <v>1994.5833333333333</v>
      </c>
      <c r="D260" s="1">
        <v>1.0234141344512595</v>
      </c>
      <c r="E260" s="7">
        <v>1994.5833333333333</v>
      </c>
      <c r="F260" s="1">
        <v>0.98619616467464677</v>
      </c>
      <c r="G260" s="7">
        <v>1994.5833333333333</v>
      </c>
      <c r="H260" s="1">
        <v>1.0831006492640756</v>
      </c>
      <c r="I260" s="7">
        <v>1994.5833333333333</v>
      </c>
      <c r="J260" s="1">
        <v>0.99055541572996975</v>
      </c>
      <c r="L260" s="1">
        <f t="shared" si="28"/>
        <v>1.020816591029988</v>
      </c>
      <c r="M260" s="1"/>
      <c r="N260" s="1"/>
      <c r="Q260" s="7">
        <f t="shared" si="29"/>
        <v>0.43962019381555856</v>
      </c>
      <c r="R260" s="7">
        <f t="shared" si="30"/>
        <v>-0.32882467213327937</v>
      </c>
      <c r="S260" s="7">
        <f t="shared" si="34"/>
        <v>1.433249702902208</v>
      </c>
      <c r="T260" s="7">
        <f t="shared" si="31"/>
        <v>-1.0632708140420946</v>
      </c>
      <c r="V260" s="7">
        <f t="shared" si="32"/>
        <v>0.12019360263559814</v>
      </c>
      <c r="AF260" s="7">
        <f t="shared" si="33"/>
        <v>8.6909211701295147E-2</v>
      </c>
    </row>
    <row r="261" spans="1:32" x14ac:dyDescent="0.35">
      <c r="A261" t="s">
        <v>43</v>
      </c>
      <c r="B261">
        <v>1994</v>
      </c>
      <c r="C261" s="7">
        <v>1994.5</v>
      </c>
      <c r="D261" s="1">
        <v>1.0114775648704233</v>
      </c>
      <c r="E261" s="7">
        <v>1994.5</v>
      </c>
      <c r="F261" s="1">
        <v>0.97603668682374056</v>
      </c>
      <c r="G261" s="7">
        <v>1994.5</v>
      </c>
      <c r="H261" s="1">
        <v>1.0758121280427853</v>
      </c>
      <c r="I261" s="7">
        <v>1994.5</v>
      </c>
      <c r="J261" s="1">
        <v>0.97876622815806991</v>
      </c>
      <c r="L261" s="1">
        <f t="shared" ref="L261:L324" si="35">AVERAGE(D261,F261,H261,J261)</f>
        <v>1.0105231519737548</v>
      </c>
      <c r="M261" s="1"/>
      <c r="N261" s="1"/>
      <c r="Q261" s="7">
        <f t="shared" ref="Q261:Q324" si="36">STANDARDIZE(D261, AVERAGE($D$5:$D$411), _xlfn.STDEV.P($L$5:$L$1820))</f>
        <v>3.8932572919764694E-2</v>
      </c>
      <c r="R261" s="7">
        <f t="shared" ref="R261:R324" si="37">STANDARDIZE(F261, AVERAGE($F$4:$F$747), _xlfn.STDEV.P($F$4:$F$747))</f>
        <v>-0.64173596169762137</v>
      </c>
      <c r="S261" s="7">
        <f t="shared" si="34"/>
        <v>1.2291687042422503</v>
      </c>
      <c r="T261" s="7">
        <f t="shared" ref="T261:T324" si="38">STANDARDIZE(J261,AVERAGE($J$4:$J$795),_xlfn.STDEV.P($J$4:$J$795))</f>
        <v>-1.4316879485568825</v>
      </c>
      <c r="V261" s="7">
        <f t="shared" ref="V261:V324" si="39">AVERAGE(Q261,R261,S261,T261)</f>
        <v>-0.20133065827312221</v>
      </c>
      <c r="AF261" s="7">
        <f t="shared" ref="AF261:AF324" si="40">STANDARDIZE(L261,L$1,L$2)</f>
        <v>-0.25859358169003338</v>
      </c>
    </row>
    <row r="262" spans="1:32" x14ac:dyDescent="0.35">
      <c r="A262" t="s">
        <v>44</v>
      </c>
      <c r="B262">
        <v>1994</v>
      </c>
      <c r="C262" s="7">
        <v>1994.4166666666665</v>
      </c>
      <c r="D262" s="1">
        <v>0.99476406718191379</v>
      </c>
      <c r="E262" s="7">
        <v>1994.4166666666665</v>
      </c>
      <c r="F262" s="1">
        <v>0.97028797106607589</v>
      </c>
      <c r="G262" s="7">
        <v>1994.4166666666665</v>
      </c>
      <c r="H262" s="1">
        <v>1.0633574081236279</v>
      </c>
      <c r="I262" s="7">
        <v>1994.4166666666665</v>
      </c>
      <c r="J262" s="1">
        <v>0.98557941458253562</v>
      </c>
      <c r="L262" s="1">
        <f t="shared" si="35"/>
        <v>1.0034972152385384</v>
      </c>
      <c r="M262" s="1"/>
      <c r="N262" s="1"/>
      <c r="Q262" s="7">
        <f t="shared" si="36"/>
        <v>-0.52210731214133899</v>
      </c>
      <c r="R262" s="7">
        <f t="shared" si="37"/>
        <v>-0.81879605154360213</v>
      </c>
      <c r="S262" s="7">
        <f t="shared" si="34"/>
        <v>0.88043243772676039</v>
      </c>
      <c r="T262" s="7">
        <f t="shared" si="38"/>
        <v>-1.2187729699709402</v>
      </c>
      <c r="V262" s="7">
        <f t="shared" si="39"/>
        <v>-0.41981097398228029</v>
      </c>
      <c r="AF262" s="7">
        <f t="shared" si="40"/>
        <v>-0.49442154501177876</v>
      </c>
    </row>
    <row r="263" spans="1:32" x14ac:dyDescent="0.35">
      <c r="A263" t="s">
        <v>42</v>
      </c>
      <c r="B263">
        <v>1994</v>
      </c>
      <c r="C263" s="7">
        <v>1994.3333333333333</v>
      </c>
      <c r="D263" s="1">
        <v>0.99023901673060233</v>
      </c>
      <c r="E263" s="7">
        <v>1994.3333333333333</v>
      </c>
      <c r="F263" s="1">
        <v>0.95902760865597314</v>
      </c>
      <c r="G263" s="7">
        <v>1994.3333333333333</v>
      </c>
      <c r="H263" s="1">
        <v>1.0551676269691266</v>
      </c>
      <c r="I263" s="7">
        <v>1994.3333333333333</v>
      </c>
      <c r="J263" s="1">
        <v>0.97475921380430985</v>
      </c>
      <c r="L263" s="1">
        <f t="shared" si="35"/>
        <v>0.99479836654000309</v>
      </c>
      <c r="M263" s="1"/>
      <c r="N263" s="1"/>
      <c r="Q263" s="7">
        <f t="shared" si="36"/>
        <v>-0.67400452913409648</v>
      </c>
      <c r="R263" s="7">
        <f t="shared" si="37"/>
        <v>-1.1656145174545058</v>
      </c>
      <c r="S263" s="7">
        <f t="shared" si="34"/>
        <v>0.65111586361363205</v>
      </c>
      <c r="T263" s="7">
        <f t="shared" si="38"/>
        <v>-1.5569088543375853</v>
      </c>
      <c r="V263" s="7">
        <f t="shared" si="39"/>
        <v>-0.68635300932813892</v>
      </c>
      <c r="AF263" s="7">
        <f t="shared" si="40"/>
        <v>-0.78640136907383429</v>
      </c>
    </row>
    <row r="264" spans="1:32" x14ac:dyDescent="0.35">
      <c r="A264" t="s">
        <v>40</v>
      </c>
      <c r="B264">
        <v>1994</v>
      </c>
      <c r="C264" s="7">
        <v>1994.25</v>
      </c>
      <c r="D264" s="1">
        <v>0.97637003694703672</v>
      </c>
      <c r="E264" s="7">
        <v>1994.25</v>
      </c>
      <c r="F264" s="1">
        <v>0.94886665767051026</v>
      </c>
      <c r="G264" s="7">
        <v>1994.25</v>
      </c>
      <c r="H264" s="1">
        <v>1.0530094055040553</v>
      </c>
      <c r="I264" s="7">
        <v>1994.25</v>
      </c>
      <c r="J264" s="1">
        <v>0.96881677208531725</v>
      </c>
      <c r="L264" s="1">
        <f t="shared" si="35"/>
        <v>0.98676571805172986</v>
      </c>
      <c r="M264" s="1"/>
      <c r="N264" s="1"/>
      <c r="Q264" s="7">
        <f t="shared" si="36"/>
        <v>-1.1395594338406008</v>
      </c>
      <c r="R264" s="7">
        <f t="shared" si="37"/>
        <v>-1.4785711794720973</v>
      </c>
      <c r="S264" s="7">
        <f t="shared" si="34"/>
        <v>0.59068495060009651</v>
      </c>
      <c r="T264" s="7">
        <f t="shared" si="38"/>
        <v>-1.7426126898886198</v>
      </c>
      <c r="V264" s="7">
        <f t="shared" si="39"/>
        <v>-0.94251458815030542</v>
      </c>
      <c r="AF264" s="7">
        <f t="shared" si="40"/>
        <v>-1.0560199558131644</v>
      </c>
    </row>
    <row r="265" spans="1:32" x14ac:dyDescent="0.35">
      <c r="A265" t="s">
        <v>38</v>
      </c>
      <c r="B265">
        <v>1994</v>
      </c>
      <c r="C265" s="7">
        <v>1994.1666666666665</v>
      </c>
      <c r="D265" s="1">
        <v>0.97746154118112527</v>
      </c>
      <c r="E265" s="7">
        <v>1994.1666666666665</v>
      </c>
      <c r="F265" s="1">
        <v>0.95598483472766516</v>
      </c>
      <c r="G265" s="7">
        <v>1994.1666666666665</v>
      </c>
      <c r="H265" s="1">
        <v>1.0507983354183372</v>
      </c>
      <c r="I265" s="7">
        <v>1994.1666666666665</v>
      </c>
      <c r="J265" s="1">
        <v>0.98044270627471797</v>
      </c>
      <c r="L265" s="1">
        <f t="shared" si="35"/>
        <v>0.99117185440046129</v>
      </c>
      <c r="M265" s="1"/>
      <c r="N265" s="1"/>
      <c r="Q265" s="7">
        <f t="shared" si="36"/>
        <v>-1.1029197416917962</v>
      </c>
      <c r="R265" s="7">
        <f t="shared" si="37"/>
        <v>-1.2593317662868051</v>
      </c>
      <c r="S265" s="7">
        <f t="shared" si="34"/>
        <v>0.52877425877383044</v>
      </c>
      <c r="T265" s="7">
        <f t="shared" si="38"/>
        <v>-1.37929729313255</v>
      </c>
      <c r="V265" s="7">
        <f t="shared" si="39"/>
        <v>-0.8031936355843301</v>
      </c>
      <c r="AF265" s="7">
        <f t="shared" si="40"/>
        <v>-0.90812648617359593</v>
      </c>
    </row>
    <row r="266" spans="1:32" x14ac:dyDescent="0.35">
      <c r="A266" t="s">
        <v>36</v>
      </c>
      <c r="B266">
        <v>1994</v>
      </c>
      <c r="C266" s="7">
        <v>1994.0833333333333</v>
      </c>
      <c r="D266" s="1">
        <v>0.99115467007311053</v>
      </c>
      <c r="E266" s="7">
        <v>1994.0833333333333</v>
      </c>
      <c r="F266" s="1">
        <v>0.99528492449773687</v>
      </c>
      <c r="G266" s="7">
        <v>1994.0833333333333</v>
      </c>
      <c r="H266" s="1">
        <v>1.0698274529539351</v>
      </c>
      <c r="I266" s="7">
        <v>1994.0833333333333</v>
      </c>
      <c r="J266" s="1">
        <v>1.0325150637043221</v>
      </c>
      <c r="L266" s="1">
        <f t="shared" si="35"/>
        <v>1.0221955278072761</v>
      </c>
      <c r="M266" s="1"/>
      <c r="N266" s="1"/>
      <c r="Q266" s="7">
        <f t="shared" si="36"/>
        <v>-0.64326781228339214</v>
      </c>
      <c r="R266" s="7">
        <f t="shared" si="37"/>
        <v>-4.8891431614424767E-2</v>
      </c>
      <c r="S266" s="7">
        <f t="shared" si="34"/>
        <v>1.0615958274259998</v>
      </c>
      <c r="T266" s="7">
        <f t="shared" si="38"/>
        <v>0.24798606245435331</v>
      </c>
      <c r="V266" s="7">
        <f t="shared" si="39"/>
        <v>0.15435566149563404</v>
      </c>
      <c r="AF266" s="7">
        <f t="shared" si="40"/>
        <v>0.13319369503678055</v>
      </c>
    </row>
    <row r="267" spans="1:32" x14ac:dyDescent="0.35">
      <c r="A267" t="s">
        <v>34</v>
      </c>
      <c r="B267">
        <v>1994</v>
      </c>
      <c r="C267" s="7">
        <v>1994</v>
      </c>
      <c r="D267" s="1">
        <v>1.0466499844816577</v>
      </c>
      <c r="E267" s="7">
        <v>1994</v>
      </c>
      <c r="F267" s="1">
        <v>1.0169245885686502</v>
      </c>
      <c r="G267" s="7">
        <v>1994</v>
      </c>
      <c r="H267" s="1">
        <v>1.0851953613665704</v>
      </c>
      <c r="I267" s="7">
        <v>1994</v>
      </c>
      <c r="J267" s="1">
        <v>1.0488586823003121</v>
      </c>
      <c r="L267" s="1">
        <f t="shared" si="35"/>
        <v>1.0494071541792975</v>
      </c>
      <c r="M267" s="1"/>
      <c r="N267" s="1"/>
      <c r="Q267" s="7">
        <f t="shared" si="36"/>
        <v>1.2196028684961573</v>
      </c>
      <c r="R267" s="7">
        <f t="shared" si="37"/>
        <v>0.61760888361237232</v>
      </c>
      <c r="S267" s="7">
        <f t="shared" si="34"/>
        <v>1.4919023328120316</v>
      </c>
      <c r="T267" s="7">
        <f t="shared" si="38"/>
        <v>0.75873110692961887</v>
      </c>
      <c r="V267" s="7">
        <f t="shared" si="39"/>
        <v>1.021961297962545</v>
      </c>
      <c r="AF267" s="7">
        <f t="shared" si="40"/>
        <v>1.0465612170955334</v>
      </c>
    </row>
    <row r="268" spans="1:32" x14ac:dyDescent="0.35">
      <c r="A268" t="s">
        <v>33</v>
      </c>
      <c r="B268">
        <v>1993</v>
      </c>
      <c r="C268" s="7">
        <v>1993.9166666666665</v>
      </c>
      <c r="D268" s="1">
        <v>1.0625215303464517</v>
      </c>
      <c r="E268" s="7">
        <v>1993.9166666666665</v>
      </c>
      <c r="F268" s="1">
        <v>1.0245981271158546</v>
      </c>
      <c r="G268" s="7">
        <v>1993.9166666666665</v>
      </c>
      <c r="H268" s="1">
        <v>1.0854168399996063</v>
      </c>
      <c r="I268" s="7">
        <v>1993.9166666666665</v>
      </c>
      <c r="J268" s="1">
        <v>1.0479928813352362</v>
      </c>
      <c r="L268" s="1">
        <f t="shared" si="35"/>
        <v>1.0551323446992873</v>
      </c>
      <c r="M268" s="1"/>
      <c r="N268" s="1"/>
      <c r="Q268" s="7">
        <f t="shared" si="36"/>
        <v>1.7523800545574533</v>
      </c>
      <c r="R268" s="7">
        <f t="shared" si="37"/>
        <v>0.8539533963486492</v>
      </c>
      <c r="S268" s="7">
        <f t="shared" si="34"/>
        <v>1.4981038076022506</v>
      </c>
      <c r="T268" s="7">
        <f t="shared" si="38"/>
        <v>0.73167445788844909</v>
      </c>
      <c r="V268" s="7">
        <f t="shared" si="39"/>
        <v>1.2090279290992005</v>
      </c>
      <c r="AF268" s="7">
        <f t="shared" si="40"/>
        <v>1.2387291899710502</v>
      </c>
    </row>
    <row r="269" spans="1:32" x14ac:dyDescent="0.35">
      <c r="A269" t="s">
        <v>35</v>
      </c>
      <c r="B269">
        <v>1993</v>
      </c>
      <c r="C269" s="7">
        <v>1993.8333333333333</v>
      </c>
      <c r="D269" s="1">
        <v>1.058259685961042</v>
      </c>
      <c r="E269" s="7">
        <v>1993.8333333333333</v>
      </c>
      <c r="F269" s="1">
        <v>1.0191798171065611</v>
      </c>
      <c r="G269" s="7">
        <v>1993.8333333333333</v>
      </c>
      <c r="H269" s="1">
        <v>1.0809328360776747</v>
      </c>
      <c r="I269" s="7">
        <v>1993.8333333333333</v>
      </c>
      <c r="J269" s="1">
        <v>1.0460440356748437</v>
      </c>
      <c r="L269" s="1">
        <f t="shared" si="35"/>
        <v>1.0511040937050304</v>
      </c>
      <c r="M269" s="1"/>
      <c r="N269" s="1"/>
      <c r="Q269" s="7">
        <f t="shared" si="36"/>
        <v>1.6093181575984223</v>
      </c>
      <c r="R269" s="7">
        <f t="shared" si="37"/>
        <v>0.68706978312081213</v>
      </c>
      <c r="S269" s="7">
        <f t="shared" si="34"/>
        <v>1.3725502185271592</v>
      </c>
      <c r="T269" s="7">
        <f t="shared" si="38"/>
        <v>0.67077220067738186</v>
      </c>
      <c r="V269" s="7">
        <f t="shared" si="39"/>
        <v>1.0849275899809439</v>
      </c>
      <c r="AF269" s="7">
        <f t="shared" si="40"/>
        <v>1.1035195711649484</v>
      </c>
    </row>
    <row r="270" spans="1:32" x14ac:dyDescent="0.35">
      <c r="A270" t="s">
        <v>37</v>
      </c>
      <c r="B270">
        <v>1993</v>
      </c>
      <c r="C270" s="7">
        <v>1993.75</v>
      </c>
      <c r="D270" s="1">
        <v>1.052461172562285</v>
      </c>
      <c r="E270" s="7">
        <v>1993.75</v>
      </c>
      <c r="F270" s="1">
        <v>1.0234726681518411</v>
      </c>
      <c r="G270" s="7">
        <v>1993.75</v>
      </c>
      <c r="H270" s="1">
        <v>1.0653290836295861</v>
      </c>
      <c r="I270" s="7">
        <v>1993.75</v>
      </c>
      <c r="J270" s="1">
        <v>1.0380945285547609</v>
      </c>
      <c r="L270" s="1">
        <f t="shared" si="35"/>
        <v>1.0448393632246182</v>
      </c>
      <c r="M270" s="1"/>
      <c r="N270" s="1"/>
      <c r="Q270" s="7">
        <f t="shared" si="36"/>
        <v>1.4146732453607831</v>
      </c>
      <c r="R270" s="7">
        <f t="shared" si="37"/>
        <v>0.81928932985336167</v>
      </c>
      <c r="S270" s="7">
        <f t="shared" si="34"/>
        <v>0.93564000234411315</v>
      </c>
      <c r="T270" s="7">
        <f t="shared" si="38"/>
        <v>0.42234671621341369</v>
      </c>
      <c r="V270" s="7">
        <f t="shared" si="39"/>
        <v>0.89798732344291787</v>
      </c>
      <c r="AF270" s="7">
        <f t="shared" si="40"/>
        <v>0.89324175546102169</v>
      </c>
    </row>
    <row r="271" spans="1:32" x14ac:dyDescent="0.35">
      <c r="A271" t="s">
        <v>39</v>
      </c>
      <c r="B271">
        <v>1993</v>
      </c>
      <c r="C271" s="7">
        <v>1993.6666666666665</v>
      </c>
      <c r="D271" s="1">
        <v>1.0445530531563685</v>
      </c>
      <c r="E271" s="7">
        <v>1993.6666666666665</v>
      </c>
      <c r="F271" s="1">
        <v>1.021952293665499</v>
      </c>
      <c r="G271" s="7">
        <v>1993.6666666666665</v>
      </c>
      <c r="H271" s="1">
        <v>1.0438901117921593</v>
      </c>
      <c r="I271" s="7">
        <v>1993.6666666666665</v>
      </c>
      <c r="J271" s="1">
        <v>1.0272549687675352</v>
      </c>
      <c r="L271" s="1">
        <f t="shared" si="35"/>
        <v>1.0344126068453905</v>
      </c>
      <c r="M271" s="1"/>
      <c r="N271" s="1"/>
      <c r="Q271" s="7">
        <f t="shared" si="36"/>
        <v>1.1492129278836605</v>
      </c>
      <c r="R271" s="7">
        <f t="shared" si="37"/>
        <v>0.77246188969120777</v>
      </c>
      <c r="S271" s="7">
        <f t="shared" si="34"/>
        <v>0.3353417182361878</v>
      </c>
      <c r="T271" s="7">
        <f t="shared" si="38"/>
        <v>8.3605854567433996E-2</v>
      </c>
      <c r="V271" s="7">
        <f t="shared" si="39"/>
        <v>0.58515559759462255</v>
      </c>
      <c r="AF271" s="7">
        <f t="shared" si="40"/>
        <v>0.54326412064396412</v>
      </c>
    </row>
    <row r="272" spans="1:32" x14ac:dyDescent="0.35">
      <c r="A272" t="s">
        <v>41</v>
      </c>
      <c r="B272">
        <v>1993</v>
      </c>
      <c r="C272" s="7">
        <v>1993.5833333333333</v>
      </c>
      <c r="D272" s="1">
        <v>1.0302421345704862</v>
      </c>
      <c r="E272" s="7">
        <v>1993.5833333333333</v>
      </c>
      <c r="F272" s="1">
        <v>1.0143192176481293</v>
      </c>
      <c r="G272" s="7">
        <v>1993.5833333333333</v>
      </c>
      <c r="H272" s="1">
        <v>1.0346339558641524</v>
      </c>
      <c r="I272" s="7">
        <v>1993.5833333333333</v>
      </c>
      <c r="J272" s="1">
        <v>1.0056726310263142</v>
      </c>
      <c r="L272" s="1">
        <f t="shared" si="35"/>
        <v>1.0212169847772705</v>
      </c>
      <c r="M272" s="1"/>
      <c r="N272" s="1"/>
      <c r="Q272" s="7">
        <f t="shared" si="36"/>
        <v>0.66882298987193389</v>
      </c>
      <c r="R272" s="7">
        <f t="shared" si="37"/>
        <v>0.53736362037171048</v>
      </c>
      <c r="S272" s="7">
        <f t="shared" ref="S272:S335" si="41">STANDARDIZE(H272, AVERAGE($H$4:$H$891), _xlfn.STDEV.P($H$4:$H$891))</f>
        <v>7.616629867069262E-2</v>
      </c>
      <c r="T272" s="7">
        <f t="shared" si="38"/>
        <v>-0.59085139520127372</v>
      </c>
      <c r="V272" s="7">
        <f t="shared" si="39"/>
        <v>0.17287537842826578</v>
      </c>
      <c r="AF272" s="7">
        <f t="shared" si="40"/>
        <v>0.10034856441779652</v>
      </c>
    </row>
    <row r="273" spans="1:32" x14ac:dyDescent="0.35">
      <c r="A273" t="s">
        <v>43</v>
      </c>
      <c r="B273">
        <v>1993</v>
      </c>
      <c r="C273" s="7">
        <v>1993.5</v>
      </c>
      <c r="D273" s="1">
        <v>1.0110768895997959</v>
      </c>
      <c r="E273" s="7">
        <v>1993.5</v>
      </c>
      <c r="F273" s="1">
        <v>0.99360090284967872</v>
      </c>
      <c r="G273" s="7">
        <v>1993.5</v>
      </c>
      <c r="H273" s="1">
        <v>1.0303714385599265</v>
      </c>
      <c r="I273" s="7">
        <v>1993.5</v>
      </c>
      <c r="J273" s="1">
        <v>0.99926027503158643</v>
      </c>
      <c r="L273" s="1">
        <f t="shared" si="35"/>
        <v>1.0085773765102468</v>
      </c>
      <c r="M273" s="1"/>
      <c r="N273" s="1"/>
      <c r="Q273" s="7">
        <f t="shared" si="36"/>
        <v>2.548267679573837E-2</v>
      </c>
      <c r="R273" s="7">
        <f t="shared" si="37"/>
        <v>-0.1007591942377902</v>
      </c>
      <c r="S273" s="7">
        <f t="shared" si="41"/>
        <v>-4.3185592040790942E-2</v>
      </c>
      <c r="T273" s="7">
        <f t="shared" si="38"/>
        <v>-0.79124025208037629</v>
      </c>
      <c r="V273" s="7">
        <f t="shared" si="39"/>
        <v>-0.22742559039080476</v>
      </c>
      <c r="AF273" s="7">
        <f t="shared" si="40"/>
        <v>-0.32390419889791416</v>
      </c>
    </row>
    <row r="274" spans="1:32" x14ac:dyDescent="0.35">
      <c r="A274" t="s">
        <v>44</v>
      </c>
      <c r="B274">
        <v>1993</v>
      </c>
      <c r="C274" s="7">
        <v>1993.4166666666665</v>
      </c>
      <c r="D274" s="1">
        <v>1.0029315059628603</v>
      </c>
      <c r="E274" s="7">
        <v>1993.4166666666665</v>
      </c>
      <c r="F274" s="1">
        <v>0.9873556225184571</v>
      </c>
      <c r="G274" s="7">
        <v>1993.4166666666665</v>
      </c>
      <c r="H274" s="1">
        <v>1.02880742110812</v>
      </c>
      <c r="I274" s="7">
        <v>1993.4166666666665</v>
      </c>
      <c r="J274" s="1">
        <v>1.0016817571185508</v>
      </c>
      <c r="L274" s="1">
        <f t="shared" si="35"/>
        <v>1.0051940766769971</v>
      </c>
      <c r="M274" s="1"/>
      <c r="N274" s="1"/>
      <c r="Q274" s="7">
        <f t="shared" si="36"/>
        <v>-0.24794214334748904</v>
      </c>
      <c r="R274" s="7">
        <f t="shared" si="37"/>
        <v>-0.29311344224267827</v>
      </c>
      <c r="S274" s="7">
        <f t="shared" si="41"/>
        <v>-8.6978596656585902E-2</v>
      </c>
      <c r="T274" s="7">
        <f t="shared" si="38"/>
        <v>-0.715567905167795</v>
      </c>
      <c r="V274" s="7">
        <f t="shared" si="39"/>
        <v>-0.33590052185363706</v>
      </c>
      <c r="AF274" s="7">
        <f t="shared" si="40"/>
        <v>-0.43746581196836098</v>
      </c>
    </row>
    <row r="275" spans="1:32" x14ac:dyDescent="0.35">
      <c r="A275" t="s">
        <v>42</v>
      </c>
      <c r="B275">
        <v>1993</v>
      </c>
      <c r="C275" s="7">
        <v>1993.3333333333333</v>
      </c>
      <c r="D275" s="1">
        <v>0.99487171748234715</v>
      </c>
      <c r="E275" s="7">
        <v>1993.3333333333333</v>
      </c>
      <c r="F275" s="1">
        <v>0.96990406100408899</v>
      </c>
      <c r="G275" s="7">
        <v>1993.3333333333333</v>
      </c>
      <c r="H275" s="1">
        <v>1.0216230915764009</v>
      </c>
      <c r="I275" s="7">
        <v>1993.3333333333333</v>
      </c>
      <c r="J275" s="1">
        <v>0.99825465182066841</v>
      </c>
      <c r="L275" s="1">
        <f t="shared" si="35"/>
        <v>0.99616338047087638</v>
      </c>
      <c r="M275" s="1"/>
      <c r="N275" s="1"/>
      <c r="Q275" s="7">
        <f t="shared" si="36"/>
        <v>-0.51849369916172616</v>
      </c>
      <c r="R275" s="7">
        <f t="shared" si="37"/>
        <v>-0.83062045771250115</v>
      </c>
      <c r="S275" s="7">
        <f t="shared" si="41"/>
        <v>-0.28814219363598759</v>
      </c>
      <c r="T275" s="7">
        <f t="shared" si="38"/>
        <v>-0.82266640587667827</v>
      </c>
      <c r="V275" s="7">
        <f t="shared" si="39"/>
        <v>-0.61498068909672332</v>
      </c>
      <c r="AF275" s="7">
        <f t="shared" si="40"/>
        <v>-0.74058421082785331</v>
      </c>
    </row>
    <row r="276" spans="1:32" x14ac:dyDescent="0.35">
      <c r="A276" t="s">
        <v>40</v>
      </c>
      <c r="B276">
        <v>1993</v>
      </c>
      <c r="C276" s="7">
        <v>1993.25</v>
      </c>
      <c r="D276" s="1">
        <v>0.98889503985383653</v>
      </c>
      <c r="E276" s="7">
        <v>1993.25</v>
      </c>
      <c r="F276" s="1">
        <v>0.97225927903771958</v>
      </c>
      <c r="G276" s="7">
        <v>1993.25</v>
      </c>
      <c r="H276" s="1">
        <v>1.0179742750254324</v>
      </c>
      <c r="I276" s="7">
        <v>1993.25</v>
      </c>
      <c r="J276" s="1">
        <v>0.97653103233955207</v>
      </c>
      <c r="L276" s="1">
        <f t="shared" si="35"/>
        <v>0.98891490656413517</v>
      </c>
      <c r="M276" s="1"/>
      <c r="N276" s="1"/>
      <c r="Q276" s="7">
        <f t="shared" si="36"/>
        <v>-0.71911924099861868</v>
      </c>
      <c r="R276" s="7">
        <f t="shared" si="37"/>
        <v>-0.75807988791906389</v>
      </c>
      <c r="S276" s="7">
        <f t="shared" si="41"/>
        <v>-0.39031026079801245</v>
      </c>
      <c r="T276" s="7">
        <f t="shared" si="38"/>
        <v>-1.5015387702115142</v>
      </c>
      <c r="V276" s="7">
        <f t="shared" si="39"/>
        <v>-0.84226203998180227</v>
      </c>
      <c r="AF276" s="7">
        <f t="shared" si="40"/>
        <v>-0.98388171022740623</v>
      </c>
    </row>
    <row r="277" spans="1:32" x14ac:dyDescent="0.35">
      <c r="A277" t="s">
        <v>38</v>
      </c>
      <c r="B277">
        <v>1993</v>
      </c>
      <c r="C277" s="7">
        <v>1993.1666666666665</v>
      </c>
      <c r="D277" s="1">
        <v>0.99099491658653227</v>
      </c>
      <c r="E277" s="7">
        <v>1993.1666666666665</v>
      </c>
      <c r="F277" s="1">
        <v>0.97237047561694445</v>
      </c>
      <c r="G277" s="7">
        <v>1993.1666666666665</v>
      </c>
      <c r="H277" s="1">
        <v>1.0217607578781431</v>
      </c>
      <c r="I277" s="7">
        <v>1993.1666666666665</v>
      </c>
      <c r="J277" s="1">
        <v>0.98093868766260817</v>
      </c>
      <c r="L277" s="1">
        <f t="shared" si="35"/>
        <v>0.99151620943605712</v>
      </c>
      <c r="M277" s="1"/>
      <c r="N277" s="1"/>
      <c r="Q277" s="7">
        <f t="shared" si="36"/>
        <v>-0.64863042873976662</v>
      </c>
      <c r="R277" s="7">
        <f t="shared" si="37"/>
        <v>-0.75465504015513141</v>
      </c>
      <c r="S277" s="7">
        <f t="shared" si="41"/>
        <v>-0.28428749177145579</v>
      </c>
      <c r="T277" s="7">
        <f t="shared" si="38"/>
        <v>-1.3637976634435021</v>
      </c>
      <c r="V277" s="7">
        <f t="shared" si="39"/>
        <v>-0.76284265602746393</v>
      </c>
      <c r="AF277" s="7">
        <f t="shared" si="40"/>
        <v>-0.89656809193171416</v>
      </c>
    </row>
    <row r="278" spans="1:32" x14ac:dyDescent="0.35">
      <c r="A278" t="s">
        <v>36</v>
      </c>
      <c r="B278">
        <v>1993</v>
      </c>
      <c r="C278" s="7">
        <v>1993.0833333333333</v>
      </c>
      <c r="D278" s="1">
        <v>0.99670592633278099</v>
      </c>
      <c r="E278" s="7">
        <v>1993.0833333333333</v>
      </c>
      <c r="F278" s="1">
        <v>0.99572904383986904</v>
      </c>
      <c r="G278" s="7">
        <v>1993.0833333333333</v>
      </c>
      <c r="H278" s="1">
        <v>1.0368276929219395</v>
      </c>
      <c r="I278" s="7">
        <v>1993.0833333333333</v>
      </c>
      <c r="J278" s="1">
        <v>0.99422158534713201</v>
      </c>
      <c r="L278" s="1">
        <f t="shared" si="35"/>
        <v>1.0058710621104303</v>
      </c>
      <c r="M278" s="1"/>
      <c r="N278" s="1"/>
      <c r="Q278" s="7">
        <f t="shared" si="36"/>
        <v>-0.45692284536414318</v>
      </c>
      <c r="R278" s="7">
        <f t="shared" si="37"/>
        <v>-3.5212583340283328E-2</v>
      </c>
      <c r="S278" s="7">
        <f t="shared" si="41"/>
        <v>0.13759165999677223</v>
      </c>
      <c r="T278" s="7">
        <f t="shared" si="38"/>
        <v>-0.94870145150013985</v>
      </c>
      <c r="V278" s="7">
        <f t="shared" si="39"/>
        <v>-0.32581130505194855</v>
      </c>
      <c r="AF278" s="7">
        <f t="shared" si="40"/>
        <v>-0.41474256495066297</v>
      </c>
    </row>
    <row r="279" spans="1:32" x14ac:dyDescent="0.35">
      <c r="A279" t="s">
        <v>34</v>
      </c>
      <c r="B279">
        <v>1993</v>
      </c>
      <c r="C279" s="7">
        <v>1993</v>
      </c>
      <c r="D279" s="1">
        <v>1.0208358519980834</v>
      </c>
      <c r="E279" s="7">
        <v>1993</v>
      </c>
      <c r="F279" s="1">
        <v>1.0141350933595872</v>
      </c>
      <c r="G279" s="7">
        <v>1993</v>
      </c>
      <c r="H279" s="1">
        <v>1.0526262318092725</v>
      </c>
      <c r="I279" s="7">
        <v>1993</v>
      </c>
      <c r="J279" s="1">
        <v>1.0198442010405919</v>
      </c>
      <c r="L279" s="1">
        <f t="shared" si="35"/>
        <v>1.0268603445518838</v>
      </c>
      <c r="M279" s="1"/>
      <c r="N279" s="1"/>
      <c r="Q279" s="7">
        <f t="shared" si="36"/>
        <v>0.35307222413596911</v>
      </c>
      <c r="R279" s="7">
        <f t="shared" si="37"/>
        <v>0.53169260367052418</v>
      </c>
      <c r="S279" s="7">
        <f t="shared" si="41"/>
        <v>0.57995596073819189</v>
      </c>
      <c r="T279" s="7">
        <f t="shared" si="38"/>
        <v>-0.14798379432599898</v>
      </c>
      <c r="V279" s="7">
        <f t="shared" si="39"/>
        <v>0.32918424855467154</v>
      </c>
      <c r="AF279" s="7">
        <f t="shared" si="40"/>
        <v>0.2897698604092887</v>
      </c>
    </row>
    <row r="280" spans="1:32" x14ac:dyDescent="0.35">
      <c r="A280" t="s">
        <v>33</v>
      </c>
      <c r="B280">
        <v>1992</v>
      </c>
      <c r="C280" s="7">
        <v>1992.9166666666665</v>
      </c>
      <c r="D280" s="1">
        <v>1.0235318502239534</v>
      </c>
      <c r="E280" s="7">
        <v>1992.9166666666665</v>
      </c>
      <c r="F280" s="1">
        <v>1.024004731344371</v>
      </c>
      <c r="G280" s="7">
        <v>1992.9166666666665</v>
      </c>
      <c r="H280" s="1">
        <v>1.0580551318893849</v>
      </c>
      <c r="I280" s="7">
        <v>1992.9166666666665</v>
      </c>
      <c r="J280" s="1">
        <v>1.0450319321354233</v>
      </c>
      <c r="L280" s="1">
        <f t="shared" si="35"/>
        <v>1.0376559113982831</v>
      </c>
      <c r="M280" s="1"/>
      <c r="N280" s="1"/>
      <c r="Q280" s="7">
        <f t="shared" si="36"/>
        <v>0.44357168528747737</v>
      </c>
      <c r="R280" s="7">
        <f t="shared" si="37"/>
        <v>0.8356768432814643</v>
      </c>
      <c r="S280" s="7">
        <f t="shared" si="41"/>
        <v>0.73196695396108435</v>
      </c>
      <c r="T280" s="7">
        <f t="shared" si="38"/>
        <v>0.63914353385437672</v>
      </c>
      <c r="V280" s="7">
        <f t="shared" si="39"/>
        <v>0.66258975409610077</v>
      </c>
      <c r="AF280" s="7">
        <f t="shared" si="40"/>
        <v>0.65212674437170914</v>
      </c>
    </row>
    <row r="281" spans="1:32" x14ac:dyDescent="0.35">
      <c r="A281" t="s">
        <v>35</v>
      </c>
      <c r="B281">
        <v>1992</v>
      </c>
      <c r="C281" s="7">
        <v>1992.8333333333333</v>
      </c>
      <c r="D281" s="1">
        <v>1.0171562883753884</v>
      </c>
      <c r="E281" s="7">
        <v>1992.8333333333333</v>
      </c>
      <c r="F281" s="1">
        <v>1.0183153472219579</v>
      </c>
      <c r="G281" s="7">
        <v>1992.8333333333333</v>
      </c>
      <c r="H281" s="1">
        <v>1.056824428101562</v>
      </c>
      <c r="I281" s="7">
        <v>1992.8333333333333</v>
      </c>
      <c r="J281" s="1">
        <v>1.0388886138686995</v>
      </c>
      <c r="L281" s="1">
        <f t="shared" si="35"/>
        <v>1.0327961693919021</v>
      </c>
      <c r="M281" s="1"/>
      <c r="N281" s="1"/>
      <c r="Q281" s="7">
        <f t="shared" si="36"/>
        <v>0.22955636944021315</v>
      </c>
      <c r="R281" s="7">
        <f t="shared" si="37"/>
        <v>0.66044416413227347</v>
      </c>
      <c r="S281" s="7">
        <f t="shared" si="41"/>
        <v>0.69750684189612411</v>
      </c>
      <c r="T281" s="7">
        <f t="shared" si="38"/>
        <v>0.4471622206014203</v>
      </c>
      <c r="V281" s="7">
        <f t="shared" si="39"/>
        <v>0.50866739901750779</v>
      </c>
      <c r="AF281" s="7">
        <f t="shared" si="40"/>
        <v>0.48900784609164055</v>
      </c>
    </row>
    <row r="282" spans="1:32" x14ac:dyDescent="0.35">
      <c r="A282" t="s">
        <v>37</v>
      </c>
      <c r="B282">
        <v>1992</v>
      </c>
      <c r="C282" s="7">
        <v>1992.75</v>
      </c>
      <c r="D282" s="1">
        <v>1.0085741509763644</v>
      </c>
      <c r="E282" s="7">
        <v>1992.75</v>
      </c>
      <c r="F282" s="1">
        <v>1.0086205454915593</v>
      </c>
      <c r="G282" s="7">
        <v>1992.75</v>
      </c>
      <c r="H282" s="1">
        <v>1.0500356666218509</v>
      </c>
      <c r="I282" s="7">
        <v>1992.75</v>
      </c>
      <c r="J282" s="1">
        <v>1.0311006300056</v>
      </c>
      <c r="L282" s="1">
        <f t="shared" si="35"/>
        <v>1.0245827482738437</v>
      </c>
      <c r="M282" s="1"/>
      <c r="N282" s="1"/>
      <c r="Q282" s="7">
        <f t="shared" si="36"/>
        <v>-5.8529432207235534E-2</v>
      </c>
      <c r="R282" s="7">
        <f t="shared" si="37"/>
        <v>0.36184487034484236</v>
      </c>
      <c r="S282" s="7">
        <f t="shared" si="41"/>
        <v>0.50741928086979871</v>
      </c>
      <c r="T282" s="7">
        <f t="shared" si="38"/>
        <v>0.20378440673666734</v>
      </c>
      <c r="V282" s="7">
        <f t="shared" si="39"/>
        <v>0.25362978143601822</v>
      </c>
      <c r="AF282" s="7">
        <f t="shared" si="40"/>
        <v>0.21332156436540828</v>
      </c>
    </row>
    <row r="283" spans="1:32" x14ac:dyDescent="0.35">
      <c r="A283" t="s">
        <v>39</v>
      </c>
      <c r="B283">
        <v>1992</v>
      </c>
      <c r="C283" s="7">
        <v>1992.6666666666665</v>
      </c>
      <c r="D283" s="1">
        <v>1.0006572006346319</v>
      </c>
      <c r="E283" s="7">
        <v>1992.6666666666665</v>
      </c>
      <c r="F283" s="1">
        <v>1.0045559355128588</v>
      </c>
      <c r="G283" s="7">
        <v>1992.6666666666665</v>
      </c>
      <c r="H283" s="1">
        <v>1.0437901594397094</v>
      </c>
      <c r="I283" s="7">
        <v>1992.6666666666665</v>
      </c>
      <c r="J283" s="1">
        <v>1.0344233070005551</v>
      </c>
      <c r="L283" s="1">
        <f t="shared" si="35"/>
        <v>1.0208566506469388</v>
      </c>
      <c r="M283" s="1"/>
      <c r="N283" s="1"/>
      <c r="Q283" s="7">
        <f t="shared" si="36"/>
        <v>-0.32428618716904828</v>
      </c>
      <c r="R283" s="7">
        <f t="shared" si="37"/>
        <v>0.23665513434892993</v>
      </c>
      <c r="S283" s="7">
        <f t="shared" si="41"/>
        <v>0.33254301939357561</v>
      </c>
      <c r="T283" s="7">
        <f t="shared" si="38"/>
        <v>0.30761947848642229</v>
      </c>
      <c r="V283" s="7">
        <f t="shared" si="39"/>
        <v>0.13813286126496988</v>
      </c>
      <c r="AF283" s="7">
        <f t="shared" si="40"/>
        <v>8.8253826410048808E-2</v>
      </c>
    </row>
    <row r="284" spans="1:32" x14ac:dyDescent="0.35">
      <c r="A284" t="s">
        <v>41</v>
      </c>
      <c r="B284">
        <v>1992</v>
      </c>
      <c r="C284" s="7">
        <v>1992.5833333333333</v>
      </c>
      <c r="D284" s="1">
        <v>0.99793129482587595</v>
      </c>
      <c r="E284" s="7">
        <v>1992.5833333333333</v>
      </c>
      <c r="F284" s="1">
        <v>0.99449472256933236</v>
      </c>
      <c r="G284" s="7">
        <v>1992.5833333333333</v>
      </c>
      <c r="H284" s="1">
        <v>1.0392995243039842</v>
      </c>
      <c r="I284" s="7">
        <v>1992.5833333333333</v>
      </c>
      <c r="J284" s="1">
        <v>1.0371273903661764</v>
      </c>
      <c r="L284" s="1">
        <f t="shared" si="35"/>
        <v>1.0172132330163424</v>
      </c>
      <c r="M284" s="1"/>
      <c r="N284" s="1"/>
      <c r="Q284" s="7">
        <f t="shared" si="36"/>
        <v>-0.41578958820061512</v>
      </c>
      <c r="R284" s="7">
        <f t="shared" si="37"/>
        <v>-7.3229602144638556E-2</v>
      </c>
      <c r="S284" s="7">
        <f t="shared" si="41"/>
        <v>0.20680375414464261</v>
      </c>
      <c r="T284" s="7">
        <f t="shared" si="38"/>
        <v>0.39212323576193509</v>
      </c>
      <c r="V284" s="7">
        <f t="shared" si="39"/>
        <v>2.7476949890331004E-2</v>
      </c>
      <c r="AF284" s="7">
        <f t="shared" si="40"/>
        <v>-3.4038729264042236E-2</v>
      </c>
    </row>
    <row r="285" spans="1:32" x14ac:dyDescent="0.35">
      <c r="A285" t="s">
        <v>43</v>
      </c>
      <c r="B285">
        <v>1992</v>
      </c>
      <c r="C285" s="7">
        <v>1992.5</v>
      </c>
      <c r="D285" s="1">
        <v>0.9907785938544752</v>
      </c>
      <c r="E285" s="7">
        <v>1992.5</v>
      </c>
      <c r="F285" s="1">
        <v>0.97651499787242646</v>
      </c>
      <c r="G285" s="7">
        <v>1992.5</v>
      </c>
      <c r="H285" s="1">
        <v>1.0344071059588054</v>
      </c>
      <c r="I285" s="7">
        <v>1992.5</v>
      </c>
      <c r="J285" s="1">
        <v>1.0280214532708611</v>
      </c>
      <c r="L285" s="1">
        <f t="shared" si="35"/>
        <v>1.0074305377391419</v>
      </c>
      <c r="M285" s="1"/>
      <c r="N285" s="1"/>
      <c r="Q285" s="7">
        <f t="shared" si="36"/>
        <v>-0.65589196567185015</v>
      </c>
      <c r="R285" s="7">
        <f t="shared" si="37"/>
        <v>-0.62700401097597802</v>
      </c>
      <c r="S285" s="7">
        <f t="shared" si="41"/>
        <v>6.9814426483792866E-2</v>
      </c>
      <c r="T285" s="7">
        <f t="shared" si="38"/>
        <v>0.1075588218642152</v>
      </c>
      <c r="V285" s="7">
        <f t="shared" si="39"/>
        <v>-0.27638068207495509</v>
      </c>
      <c r="AF285" s="7">
        <f t="shared" si="40"/>
        <v>-0.36239823347873512</v>
      </c>
    </row>
    <row r="286" spans="1:32" x14ac:dyDescent="0.35">
      <c r="A286" t="s">
        <v>44</v>
      </c>
      <c r="B286">
        <v>1992</v>
      </c>
      <c r="C286" s="7">
        <v>1992.4166666666665</v>
      </c>
      <c r="D286" s="1">
        <v>0.97822749399272224</v>
      </c>
      <c r="E286" s="7">
        <v>1992.4166666666665</v>
      </c>
      <c r="F286" s="1">
        <v>0.96865455105800746</v>
      </c>
      <c r="G286" s="7">
        <v>1992.4166666666665</v>
      </c>
      <c r="H286" s="1">
        <v>1.0258433781553922</v>
      </c>
      <c r="I286" s="7">
        <v>1992.4166666666665</v>
      </c>
      <c r="J286" s="1">
        <v>1.0142886662116495</v>
      </c>
      <c r="L286" s="1">
        <f t="shared" si="35"/>
        <v>0.99675352235444292</v>
      </c>
      <c r="M286" s="1"/>
      <c r="N286" s="1"/>
      <c r="Q286" s="7">
        <f t="shared" si="36"/>
        <v>-1.0772081829630669</v>
      </c>
      <c r="R286" s="7">
        <f t="shared" si="37"/>
        <v>-0.86910528678439758</v>
      </c>
      <c r="S286" s="7">
        <f t="shared" si="41"/>
        <v>-0.16997277716287629</v>
      </c>
      <c r="T286" s="7">
        <f t="shared" si="38"/>
        <v>-0.32159662471768991</v>
      </c>
      <c r="V286" s="7">
        <f t="shared" si="39"/>
        <v>-0.60947071790700769</v>
      </c>
      <c r="AF286" s="7">
        <f t="shared" si="40"/>
        <v>-0.72077589718694335</v>
      </c>
    </row>
    <row r="287" spans="1:32" x14ac:dyDescent="0.35">
      <c r="A287" t="s">
        <v>42</v>
      </c>
      <c r="B287">
        <v>1992</v>
      </c>
      <c r="C287" s="7">
        <v>1992.3333333333333</v>
      </c>
      <c r="D287" s="1">
        <v>0.97557382494903166</v>
      </c>
      <c r="E287" s="7">
        <v>1992.3333333333333</v>
      </c>
      <c r="F287" s="1">
        <v>0.97390778925130039</v>
      </c>
      <c r="G287" s="7">
        <v>1992.3333333333333</v>
      </c>
      <c r="H287" s="1">
        <v>1.0187281220864826</v>
      </c>
      <c r="I287" s="7">
        <v>1992.3333333333333</v>
      </c>
      <c r="J287" s="1">
        <v>0.98562967969022774</v>
      </c>
      <c r="L287" s="1">
        <f t="shared" si="35"/>
        <v>0.98845985399426062</v>
      </c>
      <c r="M287" s="1"/>
      <c r="N287" s="1"/>
      <c r="Q287" s="7">
        <f t="shared" si="36"/>
        <v>-1.1662867351015536</v>
      </c>
      <c r="R287" s="7">
        <f t="shared" si="37"/>
        <v>-0.70730587528163791</v>
      </c>
      <c r="S287" s="7">
        <f t="shared" si="41"/>
        <v>-0.36920229439646002</v>
      </c>
      <c r="T287" s="7">
        <f t="shared" si="38"/>
        <v>-1.2172021639396449</v>
      </c>
      <c r="V287" s="7">
        <f t="shared" si="39"/>
        <v>-0.86499926717982412</v>
      </c>
      <c r="AF287" s="7">
        <f t="shared" si="40"/>
        <v>-0.99915570497033457</v>
      </c>
    </row>
    <row r="288" spans="1:32" x14ac:dyDescent="0.35">
      <c r="A288" t="s">
        <v>40</v>
      </c>
      <c r="B288">
        <v>1992</v>
      </c>
      <c r="C288" s="7">
        <v>1992.25</v>
      </c>
      <c r="D288" s="1">
        <v>0.9732642332478143</v>
      </c>
      <c r="E288" s="7">
        <v>1992.25</v>
      </c>
      <c r="F288" s="1">
        <v>0.96707691168259091</v>
      </c>
      <c r="G288" s="7">
        <v>1992.25</v>
      </c>
      <c r="H288" s="1">
        <v>1.017419521571878</v>
      </c>
      <c r="I288" s="7">
        <v>1992.25</v>
      </c>
      <c r="J288" s="1">
        <v>0.98261320971791866</v>
      </c>
      <c r="L288" s="1">
        <f t="shared" si="35"/>
        <v>0.98509346905505046</v>
      </c>
      <c r="M288" s="1"/>
      <c r="N288" s="1"/>
      <c r="Q288" s="7">
        <f t="shared" si="36"/>
        <v>-1.2438152744138191</v>
      </c>
      <c r="R288" s="7">
        <f t="shared" si="37"/>
        <v>-0.91769648198888754</v>
      </c>
      <c r="S288" s="7">
        <f t="shared" si="41"/>
        <v>-0.40584354050922877</v>
      </c>
      <c r="T288" s="7">
        <f t="shared" si="38"/>
        <v>-1.3114681357693667</v>
      </c>
      <c r="V288" s="7">
        <f t="shared" si="39"/>
        <v>-0.96970585817032551</v>
      </c>
      <c r="AF288" s="7">
        <f t="shared" si="40"/>
        <v>-1.1121495638520547</v>
      </c>
    </row>
    <row r="289" spans="1:32" x14ac:dyDescent="0.35">
      <c r="A289" t="s">
        <v>38</v>
      </c>
      <c r="B289">
        <v>1992</v>
      </c>
      <c r="C289" s="7">
        <v>1992.1666666666665</v>
      </c>
      <c r="D289" s="1">
        <v>0.97571076706341775</v>
      </c>
      <c r="E289" s="7">
        <v>1992.1666666666665</v>
      </c>
      <c r="F289" s="1">
        <v>0.96254868171150643</v>
      </c>
      <c r="G289" s="7">
        <v>1992.1666666666665</v>
      </c>
      <c r="H289" s="1">
        <v>1.0207412044742623</v>
      </c>
      <c r="I289" s="7">
        <v>1992.1666666666665</v>
      </c>
      <c r="J289" s="1">
        <v>0.98779116406613898</v>
      </c>
      <c r="L289" s="1">
        <f t="shared" si="35"/>
        <v>0.98669795432883145</v>
      </c>
      <c r="M289" s="1"/>
      <c r="N289" s="1"/>
      <c r="Q289" s="7">
        <f t="shared" si="36"/>
        <v>-1.1616898524174453</v>
      </c>
      <c r="R289" s="7">
        <f t="shared" si="37"/>
        <v>-1.0571656850808122</v>
      </c>
      <c r="S289" s="7">
        <f t="shared" si="41"/>
        <v>-0.31283532342808396</v>
      </c>
      <c r="T289" s="7">
        <f t="shared" si="38"/>
        <v>-1.1496548562719144</v>
      </c>
      <c r="V289" s="7">
        <f t="shared" si="39"/>
        <v>-0.92033642929956394</v>
      </c>
      <c r="AF289" s="7">
        <f t="shared" si="40"/>
        <v>-1.0582944682889357</v>
      </c>
    </row>
    <row r="290" spans="1:32" x14ac:dyDescent="0.35">
      <c r="A290" t="s">
        <v>36</v>
      </c>
      <c r="B290">
        <v>1992</v>
      </c>
      <c r="C290" s="7">
        <v>1992.0833333333333</v>
      </c>
      <c r="D290" s="1">
        <v>0.98814477912403087</v>
      </c>
      <c r="E290" s="7">
        <v>1992.0833333333333</v>
      </c>
      <c r="F290" s="1">
        <v>0.9796596056202701</v>
      </c>
      <c r="G290" s="7">
        <v>1992.0833333333333</v>
      </c>
      <c r="H290" s="1">
        <v>1.0270747078219151</v>
      </c>
      <c r="I290" s="7">
        <v>1992.0833333333333</v>
      </c>
      <c r="J290" s="1">
        <v>0.98881238738080923</v>
      </c>
      <c r="L290" s="1">
        <f t="shared" si="35"/>
        <v>0.99592286998675639</v>
      </c>
      <c r="M290" s="1"/>
      <c r="N290" s="1"/>
      <c r="Q290" s="7">
        <f t="shared" si="36"/>
        <v>-0.74430404680413331</v>
      </c>
      <c r="R290" s="7">
        <f t="shared" si="37"/>
        <v>-0.53015028679919807</v>
      </c>
      <c r="S290" s="7">
        <f t="shared" si="41"/>
        <v>-0.13549514028784093</v>
      </c>
      <c r="T290" s="7">
        <f t="shared" si="38"/>
        <v>-1.1177411925867862</v>
      </c>
      <c r="V290" s="7">
        <f t="shared" si="39"/>
        <v>-0.63192266661948959</v>
      </c>
      <c r="AF290" s="7">
        <f t="shared" si="40"/>
        <v>-0.74865702727427097</v>
      </c>
    </row>
    <row r="291" spans="1:32" x14ac:dyDescent="0.35">
      <c r="A291" t="s">
        <v>34</v>
      </c>
      <c r="B291">
        <v>1992</v>
      </c>
      <c r="C291" s="7">
        <v>1992</v>
      </c>
      <c r="D291" s="1">
        <v>1.0226776414543364</v>
      </c>
      <c r="E291" s="7">
        <v>1992</v>
      </c>
      <c r="F291" s="1">
        <v>1.018598038473076</v>
      </c>
      <c r="G291" s="7">
        <v>1992</v>
      </c>
      <c r="H291" s="1">
        <v>1.0357198507453043</v>
      </c>
      <c r="I291" s="7">
        <v>1992</v>
      </c>
      <c r="J291" s="1">
        <v>1.0302477928581222</v>
      </c>
      <c r="L291" s="1">
        <f t="shared" si="35"/>
        <v>1.0268108308827097</v>
      </c>
      <c r="M291" s="1"/>
      <c r="N291" s="1"/>
      <c r="Q291" s="7">
        <f t="shared" si="36"/>
        <v>0.41489754425153957</v>
      </c>
      <c r="R291" s="7">
        <f t="shared" si="37"/>
        <v>0.66915103718559732</v>
      </c>
      <c r="S291" s="7">
        <f t="shared" si="41"/>
        <v>0.10657171357678699</v>
      </c>
      <c r="T291" s="7">
        <f t="shared" si="38"/>
        <v>0.17713288251879244</v>
      </c>
      <c r="V291" s="7">
        <f t="shared" si="39"/>
        <v>0.34193829438317902</v>
      </c>
      <c r="AF291" s="7">
        <f t="shared" si="40"/>
        <v>0.28810791721253665</v>
      </c>
    </row>
    <row r="292" spans="1:32" x14ac:dyDescent="0.35">
      <c r="A292" t="s">
        <v>33</v>
      </c>
      <c r="B292">
        <v>1991</v>
      </c>
      <c r="C292" s="7">
        <v>1991.9166666666665</v>
      </c>
      <c r="D292" s="1">
        <v>1.0335197937482541</v>
      </c>
      <c r="E292" s="7">
        <v>1991.9166666666665</v>
      </c>
      <c r="F292" s="1">
        <v>1.0234204388136066</v>
      </c>
      <c r="G292" s="7">
        <v>1991.9166666666665</v>
      </c>
      <c r="H292" s="1">
        <v>1.0453819231286099</v>
      </c>
      <c r="I292" s="7">
        <v>1991.9166666666665</v>
      </c>
      <c r="J292" s="1">
        <v>1.0511080891985645</v>
      </c>
      <c r="L292" s="1">
        <f t="shared" si="35"/>
        <v>1.0383575612222586</v>
      </c>
      <c r="M292" s="1"/>
      <c r="N292" s="1"/>
      <c r="Q292" s="7">
        <f t="shared" si="36"/>
        <v>0.77884768743291255</v>
      </c>
      <c r="R292" s="7">
        <f t="shared" si="37"/>
        <v>0.817680669465504</v>
      </c>
      <c r="S292" s="7">
        <f t="shared" si="41"/>
        <v>0.3771129278014097</v>
      </c>
      <c r="T292" s="7">
        <f t="shared" si="38"/>
        <v>0.82902603088071747</v>
      </c>
      <c r="V292" s="7">
        <f t="shared" si="39"/>
        <v>0.70066682889513587</v>
      </c>
      <c r="AF292" s="7">
        <f t="shared" si="40"/>
        <v>0.67567786007188879</v>
      </c>
    </row>
    <row r="293" spans="1:32" x14ac:dyDescent="0.35">
      <c r="A293" t="s">
        <v>35</v>
      </c>
      <c r="B293">
        <v>1991</v>
      </c>
      <c r="C293" s="7">
        <v>1991.8333333333333</v>
      </c>
      <c r="D293" s="1">
        <v>1.0245558659081657</v>
      </c>
      <c r="E293" s="7">
        <v>1991.8333333333333</v>
      </c>
      <c r="F293" s="1">
        <v>1.0167222721601155</v>
      </c>
      <c r="G293" s="7">
        <v>1991.8333333333333</v>
      </c>
      <c r="H293" s="1">
        <v>1.0448519498899649</v>
      </c>
      <c r="I293" s="7">
        <v>1991.8333333333333</v>
      </c>
      <c r="J293" s="1">
        <v>1.0514495985282704</v>
      </c>
      <c r="L293" s="1">
        <f t="shared" si="35"/>
        <v>1.034394921621629</v>
      </c>
      <c r="M293" s="1"/>
      <c r="N293" s="1"/>
      <c r="Q293" s="7">
        <f t="shared" si="36"/>
        <v>0.47794591697006567</v>
      </c>
      <c r="R293" s="7">
        <f t="shared" si="37"/>
        <v>0.61137755074037969</v>
      </c>
      <c r="S293" s="7">
        <f t="shared" si="41"/>
        <v>0.36227350228258293</v>
      </c>
      <c r="T293" s="7">
        <f t="shared" si="38"/>
        <v>0.83969834293724999</v>
      </c>
      <c r="V293" s="7">
        <f t="shared" si="39"/>
        <v>0.5728238282325695</v>
      </c>
      <c r="AF293" s="7">
        <f t="shared" si="40"/>
        <v>0.54267051007533407</v>
      </c>
    </row>
    <row r="294" spans="1:32" x14ac:dyDescent="0.35">
      <c r="A294" t="s">
        <v>37</v>
      </c>
      <c r="B294">
        <v>1991</v>
      </c>
      <c r="C294" s="7">
        <v>1991.75</v>
      </c>
      <c r="D294" s="1">
        <v>1.0207400931851252</v>
      </c>
      <c r="E294" s="7">
        <v>1991.75</v>
      </c>
      <c r="F294" s="1">
        <v>1.0140539206121837</v>
      </c>
      <c r="G294" s="7">
        <v>1991.75</v>
      </c>
      <c r="H294" s="1">
        <v>1.0458962441110251</v>
      </c>
      <c r="I294" s="7">
        <v>1991.75</v>
      </c>
      <c r="J294" s="1">
        <v>1.0508850978012847</v>
      </c>
      <c r="L294" s="1">
        <f t="shared" si="35"/>
        <v>1.0328938389274047</v>
      </c>
      <c r="M294" s="1"/>
      <c r="N294" s="1"/>
      <c r="Q294" s="7">
        <f t="shared" si="36"/>
        <v>0.34985778545790636</v>
      </c>
      <c r="R294" s="7">
        <f t="shared" si="37"/>
        <v>0.52919248807007124</v>
      </c>
      <c r="S294" s="7">
        <f t="shared" si="41"/>
        <v>0.39151408498216439</v>
      </c>
      <c r="T294" s="7">
        <f t="shared" si="38"/>
        <v>0.8220574547081676</v>
      </c>
      <c r="V294" s="7">
        <f t="shared" si="39"/>
        <v>0.52315545330457747</v>
      </c>
      <c r="AF294" s="7">
        <f t="shared" si="40"/>
        <v>0.49228615736943943</v>
      </c>
    </row>
    <row r="295" spans="1:32" x14ac:dyDescent="0.35">
      <c r="A295" t="s">
        <v>39</v>
      </c>
      <c r="B295">
        <v>1991</v>
      </c>
      <c r="C295" s="7">
        <v>1991.6666666666665</v>
      </c>
      <c r="D295" s="1">
        <v>1.0235402574634824</v>
      </c>
      <c r="E295" s="7">
        <v>1991.6666666666665</v>
      </c>
      <c r="F295" s="1">
        <v>1.0074202719885403</v>
      </c>
      <c r="G295" s="7">
        <v>1991.6666666666665</v>
      </c>
      <c r="H295" s="1">
        <v>1.0388143025481995</v>
      </c>
      <c r="I295" s="7">
        <v>1991.6666666666665</v>
      </c>
      <c r="J295" s="1">
        <v>1.0617778056146046</v>
      </c>
      <c r="L295" s="1">
        <f t="shared" si="35"/>
        <v>1.0328881594037067</v>
      </c>
      <c r="M295" s="1"/>
      <c r="N295" s="1"/>
      <c r="Q295" s="7">
        <f t="shared" si="36"/>
        <v>0.44385390010492232</v>
      </c>
      <c r="R295" s="7">
        <f t="shared" si="37"/>
        <v>0.32487652067458045</v>
      </c>
      <c r="S295" s="7">
        <f t="shared" si="41"/>
        <v>0.19321738490930029</v>
      </c>
      <c r="T295" s="7">
        <f t="shared" si="38"/>
        <v>1.1624592148137993</v>
      </c>
      <c r="V295" s="7">
        <f t="shared" si="39"/>
        <v>0.53110175512565061</v>
      </c>
      <c r="AF295" s="7">
        <f t="shared" si="40"/>
        <v>0.49209552221902225</v>
      </c>
    </row>
    <row r="296" spans="1:32" x14ac:dyDescent="0.35">
      <c r="A296" t="s">
        <v>41</v>
      </c>
      <c r="B296">
        <v>1991</v>
      </c>
      <c r="C296" s="7">
        <v>1991.5833333333333</v>
      </c>
      <c r="D296" s="1">
        <v>1.0149922274097334</v>
      </c>
      <c r="E296" s="7">
        <v>1991.5833333333333</v>
      </c>
      <c r="F296" s="1">
        <v>0.995386327731832</v>
      </c>
      <c r="G296" s="7">
        <v>1991.5833333333333</v>
      </c>
      <c r="H296" s="1">
        <v>1.0438885828882776</v>
      </c>
      <c r="I296" s="7">
        <v>1991.5833333333333</v>
      </c>
      <c r="J296" s="1">
        <v>1.0601850417985643</v>
      </c>
      <c r="L296" s="1">
        <f t="shared" si="35"/>
        <v>1.0286130449571018</v>
      </c>
      <c r="M296" s="1"/>
      <c r="N296" s="1"/>
      <c r="Q296" s="7">
        <f t="shared" si="36"/>
        <v>0.15691301626160087</v>
      </c>
      <c r="R296" s="7">
        <f t="shared" si="37"/>
        <v>-4.5768218274885634E-2</v>
      </c>
      <c r="S296" s="7">
        <f t="shared" si="41"/>
        <v>0.33529890842311832</v>
      </c>
      <c r="T296" s="7">
        <f t="shared" si="38"/>
        <v>1.1126846669507171</v>
      </c>
      <c r="V296" s="7">
        <f t="shared" si="39"/>
        <v>0.38978209334013769</v>
      </c>
      <c r="AF296" s="7">
        <f t="shared" si="40"/>
        <v>0.34859984742069844</v>
      </c>
    </row>
    <row r="297" spans="1:32" x14ac:dyDescent="0.35">
      <c r="A297" t="s">
        <v>43</v>
      </c>
      <c r="B297">
        <v>1991</v>
      </c>
      <c r="C297" s="7">
        <v>1991.5</v>
      </c>
      <c r="D297" s="1">
        <v>1.0018508375253528</v>
      </c>
      <c r="E297" s="7">
        <v>1991.5</v>
      </c>
      <c r="F297" s="1">
        <v>0.99264921554362162</v>
      </c>
      <c r="G297" s="7">
        <v>1991.5</v>
      </c>
      <c r="H297" s="1">
        <v>1.0561661198458492</v>
      </c>
      <c r="I297" s="7">
        <v>1991.5</v>
      </c>
      <c r="J297" s="1">
        <v>1.0492235246067405</v>
      </c>
      <c r="L297" s="1">
        <f t="shared" si="35"/>
        <v>1.024972424380391</v>
      </c>
      <c r="M297" s="1"/>
      <c r="N297" s="1"/>
      <c r="Q297" s="7">
        <f t="shared" si="36"/>
        <v>-0.28421809870213754</v>
      </c>
      <c r="R297" s="7">
        <f t="shared" si="37"/>
        <v>-0.13007110441374278</v>
      </c>
      <c r="S297" s="7">
        <f t="shared" si="41"/>
        <v>0.67907399356201792</v>
      </c>
      <c r="T297" s="7">
        <f t="shared" si="38"/>
        <v>0.7701325844499618</v>
      </c>
      <c r="V297" s="7">
        <f t="shared" si="39"/>
        <v>0.25872934372402484</v>
      </c>
      <c r="AF297" s="7">
        <f t="shared" si="40"/>
        <v>0.2264011758144556</v>
      </c>
    </row>
    <row r="298" spans="1:32" x14ac:dyDescent="0.35">
      <c r="A298" t="s">
        <v>44</v>
      </c>
      <c r="B298">
        <v>1991</v>
      </c>
      <c r="C298" s="7">
        <v>1991.4166666666665</v>
      </c>
      <c r="D298" s="1">
        <v>0.99283017662942263</v>
      </c>
      <c r="E298" s="7">
        <v>1991.4166666666665</v>
      </c>
      <c r="F298" s="1">
        <v>0.98357476517072928</v>
      </c>
      <c r="G298" s="7">
        <v>1991.4166666666665</v>
      </c>
      <c r="H298" s="1">
        <v>1.0702444351638973</v>
      </c>
      <c r="I298" s="7">
        <v>1991.4166666666665</v>
      </c>
      <c r="J298" s="1">
        <v>1.029242284456094</v>
      </c>
      <c r="L298" s="1">
        <f t="shared" si="35"/>
        <v>1.0189729153550358</v>
      </c>
      <c r="M298" s="1"/>
      <c r="N298" s="1"/>
      <c r="Q298" s="7">
        <f t="shared" si="36"/>
        <v>-0.5870242884386655</v>
      </c>
      <c r="R298" s="7">
        <f t="shared" si="37"/>
        <v>-0.40956361475137676</v>
      </c>
      <c r="S298" s="7">
        <f t="shared" si="41"/>
        <v>1.0732714668662677</v>
      </c>
      <c r="T298" s="7">
        <f t="shared" si="38"/>
        <v>0.14571031654921338</v>
      </c>
      <c r="V298" s="7">
        <f t="shared" si="39"/>
        <v>5.5598470056359726E-2</v>
      </c>
      <c r="AF298" s="7">
        <f t="shared" si="40"/>
        <v>2.5025608726261351E-2</v>
      </c>
    </row>
    <row r="299" spans="1:32" x14ac:dyDescent="0.35">
      <c r="A299" t="s">
        <v>42</v>
      </c>
      <c r="B299">
        <v>1991</v>
      </c>
      <c r="C299" s="7">
        <v>1991.3333333333333</v>
      </c>
      <c r="D299" s="1">
        <v>0.9957423243544995</v>
      </c>
      <c r="E299" s="7">
        <v>1991.3333333333333</v>
      </c>
      <c r="F299" s="1">
        <v>0.98263397430698673</v>
      </c>
      <c r="G299" s="7">
        <v>1991.3333333333333</v>
      </c>
      <c r="H299" s="1">
        <v>1.0514887589592821</v>
      </c>
      <c r="I299" s="7">
        <v>1991.3333333333333</v>
      </c>
      <c r="J299" s="1">
        <v>1.0051367824347242</v>
      </c>
      <c r="L299" s="1">
        <f t="shared" si="35"/>
        <v>1.008750460013873</v>
      </c>
      <c r="M299" s="1"/>
      <c r="N299" s="1"/>
      <c r="Q299" s="7">
        <f t="shared" si="36"/>
        <v>-0.48926910544777458</v>
      </c>
      <c r="R299" s="7">
        <f t="shared" si="37"/>
        <v>-0.43853991517785712</v>
      </c>
      <c r="S299" s="7">
        <f t="shared" si="41"/>
        <v>0.54810634568918182</v>
      </c>
      <c r="T299" s="7">
        <f t="shared" si="38"/>
        <v>-0.60759689199173494</v>
      </c>
      <c r="V299" s="7">
        <f t="shared" si="39"/>
        <v>-0.24682489173204622</v>
      </c>
      <c r="AF299" s="7">
        <f t="shared" si="40"/>
        <v>-0.31809459205358137</v>
      </c>
    </row>
    <row r="300" spans="1:32" x14ac:dyDescent="0.35">
      <c r="A300" t="s">
        <v>40</v>
      </c>
      <c r="B300">
        <v>1991</v>
      </c>
      <c r="C300" s="7">
        <v>1991.25</v>
      </c>
      <c r="D300" s="1">
        <v>0.99740402355953128</v>
      </c>
      <c r="E300" s="7">
        <v>1991.25</v>
      </c>
      <c r="F300" s="1">
        <v>0.97748373677618328</v>
      </c>
      <c r="G300" s="7">
        <v>1991.25</v>
      </c>
      <c r="H300" s="1">
        <v>1.0269250300402377</v>
      </c>
      <c r="I300" s="7">
        <v>1991.25</v>
      </c>
      <c r="J300" s="1">
        <v>0.9958256945803744</v>
      </c>
      <c r="L300" s="1">
        <f t="shared" si="35"/>
        <v>0.99940962123908172</v>
      </c>
      <c r="M300" s="1"/>
      <c r="N300" s="1"/>
      <c r="Q300" s="7">
        <f t="shared" si="36"/>
        <v>-0.43348906775775226</v>
      </c>
      <c r="R300" s="7">
        <f t="shared" si="37"/>
        <v>-0.59716691264531396</v>
      </c>
      <c r="S300" s="7">
        <f t="shared" si="41"/>
        <v>-0.13968616755311164</v>
      </c>
      <c r="T300" s="7">
        <f t="shared" si="38"/>
        <v>-0.89857235451566997</v>
      </c>
      <c r="V300" s="7">
        <f t="shared" si="39"/>
        <v>-0.5172286256179619</v>
      </c>
      <c r="AF300" s="7">
        <f t="shared" si="40"/>
        <v>-0.63162303203148429</v>
      </c>
    </row>
    <row r="301" spans="1:32" x14ac:dyDescent="0.35">
      <c r="A301" t="s">
        <v>38</v>
      </c>
      <c r="B301">
        <v>1991</v>
      </c>
      <c r="C301" s="7">
        <v>1991.1666666666665</v>
      </c>
      <c r="D301" s="1">
        <v>0.99795253702179909</v>
      </c>
      <c r="E301" s="7">
        <v>1991.1666666666665</v>
      </c>
      <c r="F301" s="1">
        <v>0.97876426276387762</v>
      </c>
      <c r="G301" s="7">
        <v>1991.1666666666665</v>
      </c>
      <c r="H301" s="1">
        <v>1.0273231784466192</v>
      </c>
      <c r="I301" s="7">
        <v>1991.1666666666665</v>
      </c>
      <c r="J301" s="1">
        <v>0.9999018878954361</v>
      </c>
      <c r="L301" s="1">
        <f t="shared" si="35"/>
        <v>1.0009854665319329</v>
      </c>
      <c r="M301" s="1"/>
      <c r="N301" s="1"/>
      <c r="Q301" s="7">
        <f t="shared" si="36"/>
        <v>-0.41507652864950995</v>
      </c>
      <c r="R301" s="7">
        <f t="shared" si="37"/>
        <v>-0.55772679140971815</v>
      </c>
      <c r="S301" s="7">
        <f t="shared" si="41"/>
        <v>-0.12853788082632511</v>
      </c>
      <c r="T301" s="7">
        <f t="shared" si="38"/>
        <v>-0.77118957671995114</v>
      </c>
      <c r="V301" s="7">
        <f t="shared" si="39"/>
        <v>-0.46813269440137606</v>
      </c>
      <c r="AF301" s="7">
        <f t="shared" si="40"/>
        <v>-0.57872924719842134</v>
      </c>
    </row>
    <row r="302" spans="1:32" x14ac:dyDescent="0.35">
      <c r="A302" t="s">
        <v>36</v>
      </c>
      <c r="B302">
        <v>1991</v>
      </c>
      <c r="C302" s="7">
        <v>1991.0833333333333</v>
      </c>
      <c r="D302" s="1">
        <v>1.0436897237301228</v>
      </c>
      <c r="E302" s="7">
        <v>1991.0833333333333</v>
      </c>
      <c r="F302" s="1">
        <v>0.99900981746143613</v>
      </c>
      <c r="G302" s="7">
        <v>1991.0833333333333</v>
      </c>
      <c r="H302" s="1">
        <v>1.0365816630102958</v>
      </c>
      <c r="I302" s="7">
        <v>1991.0833333333333</v>
      </c>
      <c r="J302" s="1">
        <v>1.0082318787346873</v>
      </c>
      <c r="L302" s="1">
        <f t="shared" si="35"/>
        <v>1.0218782707341354</v>
      </c>
      <c r="M302" s="1"/>
      <c r="N302" s="1"/>
      <c r="Q302" s="7">
        <f t="shared" si="36"/>
        <v>1.1202326239940841</v>
      </c>
      <c r="R302" s="7">
        <f t="shared" si="37"/>
        <v>6.583504132692973E-2</v>
      </c>
      <c r="S302" s="7">
        <f t="shared" si="41"/>
        <v>0.13070274130613027</v>
      </c>
      <c r="T302" s="7">
        <f t="shared" si="38"/>
        <v>-0.51087381392334519</v>
      </c>
      <c r="V302" s="7">
        <f t="shared" si="39"/>
        <v>0.20147414817594975</v>
      </c>
      <c r="AF302" s="7">
        <f t="shared" si="40"/>
        <v>0.12254485314881275</v>
      </c>
    </row>
    <row r="303" spans="1:32" x14ac:dyDescent="0.35">
      <c r="A303" t="s">
        <v>34</v>
      </c>
      <c r="B303">
        <v>1991</v>
      </c>
      <c r="C303" s="7">
        <v>1991</v>
      </c>
      <c r="D303" s="1">
        <v>1.0662089753423138</v>
      </c>
      <c r="E303" s="7">
        <v>1991</v>
      </c>
      <c r="F303" s="1">
        <v>1.0219122940026759</v>
      </c>
      <c r="G303" s="7">
        <v>1991</v>
      </c>
      <c r="H303" s="1">
        <v>1.0789275099099638</v>
      </c>
      <c r="I303" s="7">
        <v>1991</v>
      </c>
      <c r="J303" s="1">
        <v>1.0431284339311804</v>
      </c>
      <c r="L303" s="1">
        <f t="shared" si="35"/>
        <v>1.0525443032965336</v>
      </c>
      <c r="M303" s="1"/>
      <c r="N303" s="1"/>
      <c r="Q303" s="7">
        <f t="shared" si="36"/>
        <v>1.8761604717510336</v>
      </c>
      <c r="R303" s="7">
        <f t="shared" si="37"/>
        <v>0.77122990254976287</v>
      </c>
      <c r="S303" s="7">
        <f t="shared" si="41"/>
        <v>1.316400424279468</v>
      </c>
      <c r="T303" s="7">
        <f t="shared" si="38"/>
        <v>0.57965840396868573</v>
      </c>
      <c r="V303" s="7">
        <f t="shared" si="39"/>
        <v>1.1358623006372375</v>
      </c>
      <c r="AF303" s="7">
        <f t="shared" si="40"/>
        <v>1.151860697411963</v>
      </c>
    </row>
    <row r="304" spans="1:32" x14ac:dyDescent="0.35">
      <c r="A304" t="s">
        <v>33</v>
      </c>
      <c r="B304">
        <v>1990</v>
      </c>
      <c r="C304" s="7">
        <v>1990.9166666666665</v>
      </c>
      <c r="D304" s="1">
        <v>1.0648359628914712</v>
      </c>
      <c r="E304" s="7">
        <v>1990.9166666666665</v>
      </c>
      <c r="F304" s="1">
        <v>1.0425083995373319</v>
      </c>
      <c r="G304" s="7">
        <v>1990.9166666666665</v>
      </c>
      <c r="H304" s="1">
        <v>1.1005519805871788</v>
      </c>
      <c r="I304" s="7">
        <v>1990.9166666666665</v>
      </c>
      <c r="J304" s="1">
        <v>1.0631110877941787</v>
      </c>
      <c r="L304" s="1">
        <f t="shared" si="35"/>
        <v>1.06775185770254</v>
      </c>
      <c r="M304" s="1"/>
      <c r="N304" s="1"/>
      <c r="Q304" s="7">
        <f t="shared" si="36"/>
        <v>1.8300710916604848</v>
      </c>
      <c r="R304" s="7">
        <f t="shared" si="37"/>
        <v>1.4055886793915882</v>
      </c>
      <c r="S304" s="7">
        <f t="shared" si="41"/>
        <v>1.9218927370970398</v>
      </c>
      <c r="T304" s="7">
        <f t="shared" si="38"/>
        <v>1.2041248509827549</v>
      </c>
      <c r="V304" s="7">
        <f t="shared" si="39"/>
        <v>1.5904193397829669</v>
      </c>
      <c r="AF304" s="7">
        <f t="shared" si="40"/>
        <v>1.6623074489030571</v>
      </c>
    </row>
    <row r="305" spans="1:32" x14ac:dyDescent="0.35">
      <c r="A305" t="s">
        <v>35</v>
      </c>
      <c r="B305">
        <v>1990</v>
      </c>
      <c r="C305" s="7">
        <v>1990.8333333333333</v>
      </c>
      <c r="D305" s="1">
        <v>1.0557251306024953</v>
      </c>
      <c r="E305" s="7">
        <v>1990.8333333333333</v>
      </c>
      <c r="F305" s="1">
        <v>1.0328664229051872</v>
      </c>
      <c r="G305" s="7">
        <v>1990.8333333333333</v>
      </c>
      <c r="H305" s="1">
        <v>1.1028015268155507</v>
      </c>
      <c r="I305" s="7">
        <v>1990.8333333333333</v>
      </c>
      <c r="J305" s="1">
        <v>1.0582625179163718</v>
      </c>
      <c r="L305" s="1">
        <f t="shared" si="35"/>
        <v>1.0624138995599013</v>
      </c>
      <c r="M305" s="1"/>
      <c r="N305" s="1"/>
      <c r="Q305" s="7">
        <f t="shared" si="36"/>
        <v>1.5242380221568934</v>
      </c>
      <c r="R305" s="7">
        <f t="shared" si="37"/>
        <v>1.1086163953637691</v>
      </c>
      <c r="S305" s="7">
        <f t="shared" si="41"/>
        <v>1.9848807736107876</v>
      </c>
      <c r="T305" s="7">
        <f t="shared" si="38"/>
        <v>1.0526049765230363</v>
      </c>
      <c r="V305" s="7">
        <f t="shared" si="39"/>
        <v>1.4175850419136216</v>
      </c>
      <c r="AF305" s="7">
        <f t="shared" si="40"/>
        <v>1.4831370628724674</v>
      </c>
    </row>
    <row r="306" spans="1:32" x14ac:dyDescent="0.35">
      <c r="A306" t="s">
        <v>37</v>
      </c>
      <c r="B306">
        <v>1990</v>
      </c>
      <c r="C306" s="7">
        <v>1990.75</v>
      </c>
      <c r="D306" s="1">
        <v>1.0537457544368949</v>
      </c>
      <c r="E306" s="7">
        <v>1990.75</v>
      </c>
      <c r="F306" s="1">
        <v>1.0359854183709338</v>
      </c>
      <c r="G306" s="7">
        <v>1990.75</v>
      </c>
      <c r="H306" s="1">
        <v>1.1162682734684584</v>
      </c>
      <c r="I306" s="7">
        <v>1990.75</v>
      </c>
      <c r="J306" s="1">
        <v>1.0721938243880409</v>
      </c>
      <c r="L306" s="1">
        <f t="shared" si="35"/>
        <v>1.069548317666082</v>
      </c>
      <c r="M306" s="1"/>
      <c r="N306" s="1"/>
      <c r="Q306" s="7">
        <f t="shared" si="36"/>
        <v>1.4577941815474793</v>
      </c>
      <c r="R306" s="7">
        <f t="shared" si="37"/>
        <v>1.2046812628357793</v>
      </c>
      <c r="S306" s="7">
        <f t="shared" si="41"/>
        <v>2.3619541225362237</v>
      </c>
      <c r="T306" s="7">
        <f t="shared" si="38"/>
        <v>1.4879642393252759</v>
      </c>
      <c r="V306" s="7">
        <f t="shared" si="39"/>
        <v>1.6280984515611896</v>
      </c>
      <c r="AF306" s="7">
        <f t="shared" si="40"/>
        <v>1.7226062404176001</v>
      </c>
    </row>
    <row r="307" spans="1:32" x14ac:dyDescent="0.35">
      <c r="A307" t="s">
        <v>39</v>
      </c>
      <c r="B307">
        <v>1990</v>
      </c>
      <c r="C307" s="7">
        <v>1990.6666666666665</v>
      </c>
      <c r="D307" s="1">
        <v>1.0501023294730036</v>
      </c>
      <c r="E307" s="7">
        <v>1990.6666666666665</v>
      </c>
      <c r="F307" s="1">
        <v>1.0258778036775758</v>
      </c>
      <c r="G307" s="7">
        <v>1990.6666666666665</v>
      </c>
      <c r="H307" s="1">
        <v>1.102692645444485</v>
      </c>
      <c r="I307" s="7">
        <v>1990.6666666666665</v>
      </c>
      <c r="J307" s="1">
        <v>1.0792148579799998</v>
      </c>
      <c r="L307" s="1">
        <f t="shared" si="35"/>
        <v>1.0644719091437662</v>
      </c>
      <c r="M307" s="1"/>
      <c r="N307" s="1"/>
      <c r="Q307" s="7">
        <f t="shared" si="36"/>
        <v>1.3354914319335773</v>
      </c>
      <c r="R307" s="7">
        <f t="shared" si="37"/>
        <v>0.89336735531679656</v>
      </c>
      <c r="S307" s="7">
        <f t="shared" si="41"/>
        <v>1.9818320593012728</v>
      </c>
      <c r="T307" s="7">
        <f t="shared" si="38"/>
        <v>1.7073745304505987</v>
      </c>
      <c r="V307" s="7">
        <f t="shared" si="39"/>
        <v>1.4795163442505614</v>
      </c>
      <c r="AF307" s="7">
        <f t="shared" si="40"/>
        <v>1.5522148566172973</v>
      </c>
    </row>
    <row r="308" spans="1:32" x14ac:dyDescent="0.35">
      <c r="A308" t="s">
        <v>41</v>
      </c>
      <c r="B308">
        <v>1990</v>
      </c>
      <c r="C308" s="7">
        <v>1990.5833333333333</v>
      </c>
      <c r="D308" s="1">
        <v>1.0359589392368083</v>
      </c>
      <c r="E308" s="7">
        <v>1990.5833333333333</v>
      </c>
      <c r="F308" s="1">
        <v>1.0115726902948869</v>
      </c>
      <c r="G308" s="7">
        <v>1990.5833333333333</v>
      </c>
      <c r="H308" s="1">
        <v>1.070049871018026</v>
      </c>
      <c r="I308" s="7">
        <v>1990.5833333333333</v>
      </c>
      <c r="J308" s="1">
        <v>1.0763745855139444</v>
      </c>
      <c r="L308" s="1">
        <f t="shared" si="35"/>
        <v>1.0484890215159164</v>
      </c>
      <c r="M308" s="1"/>
      <c r="N308" s="1"/>
      <c r="Q308" s="7">
        <f t="shared" si="36"/>
        <v>0.86072509753879101</v>
      </c>
      <c r="R308" s="7">
        <f t="shared" si="37"/>
        <v>0.45277074773208603</v>
      </c>
      <c r="S308" s="7">
        <f t="shared" si="41"/>
        <v>1.0678236065956732</v>
      </c>
      <c r="T308" s="7">
        <f t="shared" si="38"/>
        <v>1.6186148057618881</v>
      </c>
      <c r="V308" s="7">
        <f t="shared" si="39"/>
        <v>0.99998356440710956</v>
      </c>
      <c r="AF308" s="7">
        <f t="shared" si="40"/>
        <v>1.0157437810404852</v>
      </c>
    </row>
    <row r="309" spans="1:32" x14ac:dyDescent="0.35">
      <c r="A309" t="s">
        <v>43</v>
      </c>
      <c r="B309">
        <v>1990</v>
      </c>
      <c r="C309" s="7">
        <v>1990.5</v>
      </c>
      <c r="D309" s="1">
        <v>1.0115143921648955</v>
      </c>
      <c r="E309" s="7">
        <v>1990.5</v>
      </c>
      <c r="F309" s="1">
        <v>1.0005753407136866</v>
      </c>
      <c r="G309" s="7">
        <v>1990.5</v>
      </c>
      <c r="H309" s="1">
        <v>1.0470448806647445</v>
      </c>
      <c r="I309" s="7">
        <v>1990.5</v>
      </c>
      <c r="J309" s="1">
        <v>1.0616265237237317</v>
      </c>
      <c r="L309" s="1">
        <f t="shared" si="35"/>
        <v>1.0301902843167645</v>
      </c>
      <c r="M309" s="1"/>
      <c r="N309" s="1"/>
      <c r="Q309" s="7">
        <f t="shared" si="36"/>
        <v>4.0168794172961229E-2</v>
      </c>
      <c r="R309" s="7">
        <f t="shared" si="37"/>
        <v>0.11405306068714294</v>
      </c>
      <c r="S309" s="7">
        <f t="shared" si="41"/>
        <v>0.42367628741846275</v>
      </c>
      <c r="T309" s="7">
        <f t="shared" si="38"/>
        <v>1.1577315912689665</v>
      </c>
      <c r="V309" s="7">
        <f t="shared" si="39"/>
        <v>0.43390743338688337</v>
      </c>
      <c r="AF309" s="7">
        <f t="shared" si="40"/>
        <v>0.40154042458185818</v>
      </c>
    </row>
    <row r="310" spans="1:32" x14ac:dyDescent="0.35">
      <c r="A310" t="s">
        <v>44</v>
      </c>
      <c r="B310">
        <v>1990</v>
      </c>
      <c r="C310" s="7">
        <v>1990.4166666666665</v>
      </c>
      <c r="D310" s="1">
        <v>0.99586512896325896</v>
      </c>
      <c r="E310" s="7">
        <v>1990.4166666666665</v>
      </c>
      <c r="F310" s="1">
        <v>0.98838863568151081</v>
      </c>
      <c r="G310" s="7">
        <v>1990.4166666666665</v>
      </c>
      <c r="H310" s="1">
        <v>1.0406773543939829</v>
      </c>
      <c r="I310" s="7">
        <v>1990.4166666666665</v>
      </c>
      <c r="J310" s="1">
        <v>1.036223036560519</v>
      </c>
      <c r="L310" s="1">
        <f t="shared" si="35"/>
        <v>1.0152885388998178</v>
      </c>
      <c r="M310" s="1"/>
      <c r="N310" s="1"/>
      <c r="Q310" s="7">
        <f t="shared" si="36"/>
        <v>-0.48514679156306628</v>
      </c>
      <c r="R310" s="7">
        <f t="shared" si="37"/>
        <v>-0.26129670070027278</v>
      </c>
      <c r="S310" s="7">
        <f t="shared" si="41"/>
        <v>0.24538345120710026</v>
      </c>
      <c r="T310" s="7">
        <f t="shared" si="38"/>
        <v>0.36386179402679686</v>
      </c>
      <c r="V310" s="7">
        <f t="shared" si="39"/>
        <v>-3.4299561757360486E-2</v>
      </c>
      <c r="AF310" s="7">
        <f t="shared" si="40"/>
        <v>-9.8641743868805323E-2</v>
      </c>
    </row>
    <row r="311" spans="1:32" x14ac:dyDescent="0.35">
      <c r="A311" t="s">
        <v>42</v>
      </c>
      <c r="B311">
        <v>1990</v>
      </c>
      <c r="C311" s="7">
        <v>1990.3333333333333</v>
      </c>
      <c r="D311" s="1">
        <v>0.98989885443735448</v>
      </c>
      <c r="E311" s="7">
        <v>1990.3333333333333</v>
      </c>
      <c r="F311" s="1">
        <v>0.9838154479376684</v>
      </c>
      <c r="G311" s="7">
        <v>1990.3333333333333</v>
      </c>
      <c r="H311" s="1">
        <v>1.0395787331772115</v>
      </c>
      <c r="I311" s="7">
        <v>1990.3333333333333</v>
      </c>
      <c r="J311" s="1">
        <v>1.0347843090432609</v>
      </c>
      <c r="L311" s="1">
        <f t="shared" si="35"/>
        <v>1.0120193361488738</v>
      </c>
      <c r="M311" s="1"/>
      <c r="N311" s="1"/>
      <c r="Q311" s="7">
        <f t="shared" si="36"/>
        <v>-0.68542312130807925</v>
      </c>
      <c r="R311" s="7">
        <f t="shared" si="37"/>
        <v>-0.40215060041303502</v>
      </c>
      <c r="S311" s="7">
        <f t="shared" si="41"/>
        <v>0.21462169470527406</v>
      </c>
      <c r="T311" s="7">
        <f t="shared" si="38"/>
        <v>0.31890094612925468</v>
      </c>
      <c r="V311" s="7">
        <f t="shared" si="39"/>
        <v>-0.1385127702216464</v>
      </c>
      <c r="AF311" s="7">
        <f t="shared" si="40"/>
        <v>-0.20837364944897008</v>
      </c>
    </row>
    <row r="312" spans="1:32" x14ac:dyDescent="0.35">
      <c r="A312" t="s">
        <v>40</v>
      </c>
      <c r="B312">
        <v>1990</v>
      </c>
      <c r="C312" s="7">
        <v>1990.25</v>
      </c>
      <c r="D312" s="1">
        <v>0.97444416153611046</v>
      </c>
      <c r="E312" s="7">
        <v>1990.25</v>
      </c>
      <c r="F312" s="1">
        <v>0.98403646986135707</v>
      </c>
      <c r="G312" s="7">
        <v>1990.25</v>
      </c>
      <c r="H312" s="1">
        <v>1.0344550541793622</v>
      </c>
      <c r="I312" s="7">
        <v>1990.25</v>
      </c>
      <c r="J312" s="1">
        <v>1.0291703788830593</v>
      </c>
      <c r="L312" s="1">
        <f t="shared" si="35"/>
        <v>1.0055265161149722</v>
      </c>
      <c r="M312" s="1"/>
      <c r="N312" s="1"/>
      <c r="Q312" s="7">
        <f t="shared" si="36"/>
        <v>-1.2042073572929677</v>
      </c>
      <c r="R312" s="7">
        <f t="shared" si="37"/>
        <v>-0.39534313883101641</v>
      </c>
      <c r="S312" s="7">
        <f t="shared" si="41"/>
        <v>7.1156992477376085E-2</v>
      </c>
      <c r="T312" s="7">
        <f t="shared" si="38"/>
        <v>0.14346323675584099</v>
      </c>
      <c r="V312" s="7">
        <f t="shared" si="39"/>
        <v>-0.34623256672269176</v>
      </c>
      <c r="AF312" s="7">
        <f t="shared" si="40"/>
        <v>-0.42630736882546472</v>
      </c>
    </row>
    <row r="313" spans="1:32" x14ac:dyDescent="0.35">
      <c r="A313" t="s">
        <v>38</v>
      </c>
      <c r="B313">
        <v>1990</v>
      </c>
      <c r="C313" s="7">
        <v>1990.1666666666665</v>
      </c>
      <c r="D313" s="1">
        <v>0.97486990016712927</v>
      </c>
      <c r="E313" s="7">
        <v>1990.1666666666665</v>
      </c>
      <c r="F313" s="1">
        <v>0.98816303644254178</v>
      </c>
      <c r="G313" s="7">
        <v>1990.1666666666665</v>
      </c>
      <c r="H313" s="1">
        <v>1.0322953543259366</v>
      </c>
      <c r="I313" s="7">
        <v>1990.1666666666665</v>
      </c>
      <c r="J313" s="1">
        <v>1.0315500030733942</v>
      </c>
      <c r="L313" s="1">
        <f t="shared" si="35"/>
        <v>1.0067195735022505</v>
      </c>
      <c r="M313" s="1"/>
      <c r="N313" s="1"/>
      <c r="Q313" s="7">
        <f t="shared" si="36"/>
        <v>-1.1899161324958343</v>
      </c>
      <c r="R313" s="7">
        <f t="shared" si="37"/>
        <v>-0.26824514330987376</v>
      </c>
      <c r="S313" s="7">
        <f t="shared" si="41"/>
        <v>1.0684684102200829E-2</v>
      </c>
      <c r="T313" s="7">
        <f t="shared" si="38"/>
        <v>0.21782750656480546</v>
      </c>
      <c r="V313" s="7">
        <f t="shared" si="39"/>
        <v>-0.30741227128467546</v>
      </c>
      <c r="AF313" s="7">
        <f t="shared" si="40"/>
        <v>-0.38626199062592248</v>
      </c>
    </row>
    <row r="314" spans="1:32" x14ac:dyDescent="0.35">
      <c r="A314" t="s">
        <v>36</v>
      </c>
      <c r="B314">
        <v>1990</v>
      </c>
      <c r="C314" s="7">
        <v>1990.0833333333333</v>
      </c>
      <c r="D314" s="1">
        <v>1.0113093716674937</v>
      </c>
      <c r="E314" s="7">
        <v>1990.0833333333333</v>
      </c>
      <c r="F314" s="1">
        <v>1.0094295788455683</v>
      </c>
      <c r="G314" s="7">
        <v>1990.0833333333333</v>
      </c>
      <c r="H314" s="1">
        <v>1.0528009595250758</v>
      </c>
      <c r="I314" s="7">
        <v>1990.0833333333333</v>
      </c>
      <c r="J314" s="1">
        <v>1.039938079066725</v>
      </c>
      <c r="L314" s="1">
        <f t="shared" si="35"/>
        <v>1.0283694972762156</v>
      </c>
      <c r="M314" s="1"/>
      <c r="N314" s="1"/>
      <c r="Q314" s="7">
        <f t="shared" si="36"/>
        <v>3.328665146165144E-2</v>
      </c>
      <c r="R314" s="7">
        <f t="shared" si="37"/>
        <v>0.38676304761917185</v>
      </c>
      <c r="S314" s="7">
        <f t="shared" si="41"/>
        <v>0.58484839442289427</v>
      </c>
      <c r="T314" s="7">
        <f t="shared" si="38"/>
        <v>0.4799584551741175</v>
      </c>
      <c r="V314" s="7">
        <f t="shared" si="39"/>
        <v>0.37121413716945872</v>
      </c>
      <c r="AF314" s="7">
        <f t="shared" si="40"/>
        <v>0.34042508642872427</v>
      </c>
    </row>
    <row r="315" spans="1:32" x14ac:dyDescent="0.35">
      <c r="A315" t="s">
        <v>34</v>
      </c>
      <c r="B315">
        <v>1990</v>
      </c>
      <c r="C315" s="7">
        <v>1990</v>
      </c>
      <c r="D315" s="1">
        <v>1.0598482738598776</v>
      </c>
      <c r="E315" s="7">
        <v>1990</v>
      </c>
      <c r="F315" s="1">
        <v>1.0485924626202892</v>
      </c>
      <c r="G315" s="7">
        <v>1990</v>
      </c>
      <c r="H315" s="1">
        <v>1.0870647653171897</v>
      </c>
      <c r="I315" s="7">
        <v>1990</v>
      </c>
      <c r="J315" s="1">
        <v>1.0836450259547969</v>
      </c>
      <c r="L315" s="1">
        <f t="shared" si="35"/>
        <v>1.0697876319380384</v>
      </c>
      <c r="M315" s="1"/>
      <c r="N315" s="1"/>
      <c r="Q315" s="7">
        <f t="shared" si="36"/>
        <v>1.6626439897361733</v>
      </c>
      <c r="R315" s="7">
        <f t="shared" si="37"/>
        <v>1.5929774461193149</v>
      </c>
      <c r="S315" s="7">
        <f t="shared" si="41"/>
        <v>1.5442462601407794</v>
      </c>
      <c r="T315" s="7">
        <f t="shared" si="38"/>
        <v>1.8458191671772424</v>
      </c>
      <c r="V315" s="7">
        <f t="shared" si="39"/>
        <v>1.6614217157933775</v>
      </c>
      <c r="AF315" s="7">
        <f t="shared" si="40"/>
        <v>1.7306389055946729</v>
      </c>
    </row>
    <row r="316" spans="1:32" x14ac:dyDescent="0.35">
      <c r="A316" t="s">
        <v>33</v>
      </c>
      <c r="B316">
        <v>1989</v>
      </c>
      <c r="C316" s="7">
        <v>1989.9166666666665</v>
      </c>
      <c r="D316" s="1">
        <v>1.0841084293896641</v>
      </c>
      <c r="E316" s="7">
        <v>1989.9166666666665</v>
      </c>
      <c r="F316" s="1">
        <v>1.0466390298819734</v>
      </c>
      <c r="G316" s="7">
        <v>1989.9166666666665</v>
      </c>
      <c r="H316" s="1">
        <v>1.0954311297665251</v>
      </c>
      <c r="I316" s="7">
        <v>1989.9166666666665</v>
      </c>
      <c r="J316" s="1">
        <v>1.1057838308499717</v>
      </c>
      <c r="L316" s="1">
        <f t="shared" si="35"/>
        <v>1.0829906049720335</v>
      </c>
      <c r="M316" s="1"/>
      <c r="N316" s="1"/>
      <c r="Q316" s="7">
        <f t="shared" si="36"/>
        <v>2.4770106246359065</v>
      </c>
      <c r="R316" s="7">
        <f t="shared" si="37"/>
        <v>1.5328118385759062</v>
      </c>
      <c r="S316" s="7">
        <f t="shared" si="41"/>
        <v>1.7785072247636253</v>
      </c>
      <c r="T316" s="7">
        <f t="shared" si="38"/>
        <v>2.5376662525950064</v>
      </c>
      <c r="V316" s="7">
        <f t="shared" si="39"/>
        <v>2.0814989851426109</v>
      </c>
      <c r="AF316" s="7">
        <f t="shared" si="40"/>
        <v>2.1738011994981226</v>
      </c>
    </row>
    <row r="317" spans="1:32" x14ac:dyDescent="0.35">
      <c r="A317" t="s">
        <v>35</v>
      </c>
      <c r="B317">
        <v>1989</v>
      </c>
      <c r="C317" s="7">
        <v>1989.8333333333333</v>
      </c>
      <c r="D317" s="1">
        <v>1.0612167042638327</v>
      </c>
      <c r="E317" s="7">
        <v>1989.8333333333333</v>
      </c>
      <c r="F317" s="1">
        <v>1.0354865696297877</v>
      </c>
      <c r="G317" s="7">
        <v>1989.8333333333333</v>
      </c>
      <c r="H317" s="1">
        <v>1.0864127214150636</v>
      </c>
      <c r="I317" s="7">
        <v>1989.8333333333333</v>
      </c>
      <c r="J317" s="1">
        <v>1.074928431697155</v>
      </c>
      <c r="L317" s="1">
        <f t="shared" si="35"/>
        <v>1.0645111067514599</v>
      </c>
      <c r="M317" s="1"/>
      <c r="N317" s="1"/>
      <c r="Q317" s="7">
        <f t="shared" si="36"/>
        <v>1.7085795593492865</v>
      </c>
      <c r="R317" s="7">
        <f t="shared" si="37"/>
        <v>1.1893167524563739</v>
      </c>
      <c r="S317" s="7">
        <f t="shared" si="41"/>
        <v>1.5259888157736958</v>
      </c>
      <c r="T317" s="7">
        <f t="shared" si="38"/>
        <v>1.5734218828399482</v>
      </c>
      <c r="V317" s="7">
        <f t="shared" si="39"/>
        <v>1.4993267526048262</v>
      </c>
      <c r="AF317" s="7">
        <f t="shared" si="40"/>
        <v>1.553530537691274</v>
      </c>
    </row>
    <row r="318" spans="1:32" x14ac:dyDescent="0.35">
      <c r="A318" t="s">
        <v>37</v>
      </c>
      <c r="B318">
        <v>1989</v>
      </c>
      <c r="C318" s="7">
        <v>1989.75</v>
      </c>
      <c r="D318" s="1">
        <v>1.0572361204441956</v>
      </c>
      <c r="E318" s="7">
        <v>1989.75</v>
      </c>
      <c r="F318" s="1">
        <v>1.0279300136586789</v>
      </c>
      <c r="G318" s="7">
        <v>1989.75</v>
      </c>
      <c r="H318" s="1">
        <v>1.0804838320776649</v>
      </c>
      <c r="I318" s="7">
        <v>1989.75</v>
      </c>
      <c r="J318" s="1">
        <v>1.0374689939960005</v>
      </c>
      <c r="L318" s="1">
        <f t="shared" si="35"/>
        <v>1.050779740044135</v>
      </c>
      <c r="M318" s="1"/>
      <c r="N318" s="1"/>
      <c r="Q318" s="7">
        <f t="shared" si="36"/>
        <v>1.5749590371661473</v>
      </c>
      <c r="R318" s="7">
        <f t="shared" si="37"/>
        <v>0.95657529582985257</v>
      </c>
      <c r="S318" s="7">
        <f t="shared" si="41"/>
        <v>1.3599779584016554</v>
      </c>
      <c r="T318" s="7">
        <f t="shared" si="38"/>
        <v>0.40279849473733753</v>
      </c>
      <c r="V318" s="7">
        <f t="shared" si="39"/>
        <v>1.0735776965337482</v>
      </c>
      <c r="AF318" s="7">
        <f t="shared" si="40"/>
        <v>1.0926325298880857</v>
      </c>
    </row>
    <row r="319" spans="1:32" x14ac:dyDescent="0.35">
      <c r="A319" t="s">
        <v>39</v>
      </c>
      <c r="B319">
        <v>1989</v>
      </c>
      <c r="C319" s="7">
        <v>1989.6666666666665</v>
      </c>
      <c r="D319" s="1">
        <v>1.0551405794797015</v>
      </c>
      <c r="E319" s="7">
        <v>1989.6666666666665</v>
      </c>
      <c r="F319" s="1">
        <v>1.0151270510517871</v>
      </c>
      <c r="G319" s="7">
        <v>1989.6666666666665</v>
      </c>
      <c r="H319" s="1">
        <v>1.0697020865129867</v>
      </c>
      <c r="I319" s="7">
        <v>1989.6666666666665</v>
      </c>
      <c r="J319" s="1">
        <v>1.0302513527107029</v>
      </c>
      <c r="L319" s="1">
        <f t="shared" si="35"/>
        <v>1.0425552674387946</v>
      </c>
      <c r="M319" s="1"/>
      <c r="N319" s="1"/>
      <c r="Q319" s="7">
        <f t="shared" si="36"/>
        <v>1.5046157682842032</v>
      </c>
      <c r="R319" s="7">
        <f t="shared" si="37"/>
        <v>0.56224483924942936</v>
      </c>
      <c r="S319" s="7">
        <f t="shared" si="41"/>
        <v>1.0580855257213881</v>
      </c>
      <c r="T319" s="7">
        <f t="shared" si="38"/>
        <v>0.17724412942864806</v>
      </c>
      <c r="V319" s="7">
        <f t="shared" si="39"/>
        <v>0.82554756567091725</v>
      </c>
      <c r="AF319" s="7">
        <f t="shared" si="40"/>
        <v>0.81657530122116695</v>
      </c>
    </row>
    <row r="320" spans="1:32" x14ac:dyDescent="0.35">
      <c r="A320" t="s">
        <v>41</v>
      </c>
      <c r="B320">
        <v>1989</v>
      </c>
      <c r="C320" s="7">
        <v>1989.5833333333333</v>
      </c>
      <c r="D320" s="1">
        <v>1.0381373051117242</v>
      </c>
      <c r="E320" s="7">
        <v>1989.5833333333333</v>
      </c>
      <c r="F320" s="1">
        <v>0.98421772591503287</v>
      </c>
      <c r="G320" s="7">
        <v>1989.5833333333333</v>
      </c>
      <c r="H320" s="1">
        <v>1.0574179562281751</v>
      </c>
      <c r="I320" s="7">
        <v>1989.5833333333333</v>
      </c>
      <c r="J320" s="1">
        <v>1.0243640988649798</v>
      </c>
      <c r="L320" s="1">
        <f t="shared" si="35"/>
        <v>1.0260342715299779</v>
      </c>
      <c r="M320" s="1"/>
      <c r="N320" s="1"/>
      <c r="Q320" s="7">
        <f t="shared" si="36"/>
        <v>0.93384863893396475</v>
      </c>
      <c r="R320" s="7">
        <f t="shared" si="37"/>
        <v>-0.3897604635863452</v>
      </c>
      <c r="S320" s="7">
        <f t="shared" si="41"/>
        <v>0.71412582524464852</v>
      </c>
      <c r="T320" s="7">
        <f t="shared" si="38"/>
        <v>-6.7350615694075589E-3</v>
      </c>
      <c r="V320" s="7">
        <f t="shared" si="39"/>
        <v>0.31286973475571517</v>
      </c>
      <c r="AF320" s="7">
        <f t="shared" si="40"/>
        <v>0.26204243762527224</v>
      </c>
    </row>
    <row r="321" spans="1:32" x14ac:dyDescent="0.35">
      <c r="A321" t="s">
        <v>43</v>
      </c>
      <c r="B321">
        <v>1989</v>
      </c>
      <c r="C321" s="7">
        <v>1989.5</v>
      </c>
      <c r="D321" s="1">
        <v>1.0112683573133958</v>
      </c>
      <c r="E321" s="7">
        <v>1989.5</v>
      </c>
      <c r="F321" s="1">
        <v>0.96878270304331049</v>
      </c>
      <c r="G321" s="7">
        <v>1989.5</v>
      </c>
      <c r="H321" s="1">
        <v>1.0544178410764149</v>
      </c>
      <c r="I321" s="7">
        <v>1989.5</v>
      </c>
      <c r="J321" s="1">
        <v>1.0022698691450509</v>
      </c>
      <c r="L321" s="1">
        <f t="shared" si="35"/>
        <v>1.0091846926445431</v>
      </c>
      <c r="M321" s="1"/>
      <c r="N321" s="1"/>
      <c r="Q321" s="7">
        <f t="shared" si="36"/>
        <v>3.1909878691655895E-2</v>
      </c>
      <c r="R321" s="7">
        <f t="shared" si="37"/>
        <v>-0.86515821356174916</v>
      </c>
      <c r="S321" s="7">
        <f t="shared" si="41"/>
        <v>0.63012161126532651</v>
      </c>
      <c r="T321" s="7">
        <f t="shared" si="38"/>
        <v>-0.69718915376907253</v>
      </c>
      <c r="V321" s="7">
        <f t="shared" si="39"/>
        <v>-0.22507896934345983</v>
      </c>
      <c r="AF321" s="7">
        <f t="shared" si="40"/>
        <v>-0.30351942567249357</v>
      </c>
    </row>
    <row r="322" spans="1:32" x14ac:dyDescent="0.35">
      <c r="A322" t="s">
        <v>44</v>
      </c>
      <c r="B322">
        <v>1989</v>
      </c>
      <c r="C322" s="7">
        <v>1989.4166666666665</v>
      </c>
      <c r="D322" s="1">
        <v>1.0001106965904418</v>
      </c>
      <c r="E322" s="7">
        <v>1989.4166666666665</v>
      </c>
      <c r="F322" s="1">
        <v>0.96458319248074997</v>
      </c>
      <c r="G322" s="7">
        <v>1989.4166666666665</v>
      </c>
      <c r="H322" s="1">
        <v>1.0570422628115221</v>
      </c>
      <c r="I322" s="7">
        <v>1989.4166666666665</v>
      </c>
      <c r="J322" s="1">
        <v>1.004522720417232</v>
      </c>
      <c r="L322" s="1">
        <f t="shared" si="35"/>
        <v>1.0065647180749866</v>
      </c>
      <c r="M322" s="1"/>
      <c r="N322" s="1"/>
      <c r="Q322" s="7">
        <f t="shared" si="36"/>
        <v>-0.34263127398762822</v>
      </c>
      <c r="R322" s="7">
        <f t="shared" si="37"/>
        <v>-0.99450287919854408</v>
      </c>
      <c r="S322" s="7">
        <f t="shared" si="41"/>
        <v>0.70360628563810235</v>
      </c>
      <c r="T322" s="7">
        <f t="shared" si="38"/>
        <v>-0.62678659166519335</v>
      </c>
      <c r="V322" s="7">
        <f t="shared" si="39"/>
        <v>-0.31507861480331578</v>
      </c>
      <c r="AF322" s="7">
        <f t="shared" si="40"/>
        <v>-0.39145976586889014</v>
      </c>
    </row>
    <row r="323" spans="1:32" x14ac:dyDescent="0.35">
      <c r="A323" t="s">
        <v>42</v>
      </c>
      <c r="B323">
        <v>1989</v>
      </c>
      <c r="C323" s="7">
        <v>1989.3333333333333</v>
      </c>
      <c r="D323" s="1">
        <v>0.99677972284368854</v>
      </c>
      <c r="E323" s="7">
        <v>1989.3333333333333</v>
      </c>
      <c r="F323" s="1">
        <v>0.96295046279869279</v>
      </c>
      <c r="G323" s="7">
        <v>1989.3333333333333</v>
      </c>
      <c r="H323" s="1">
        <v>1.0507018704670412</v>
      </c>
      <c r="I323" s="7">
        <v>1989.3333333333333</v>
      </c>
      <c r="J323" s="1">
        <v>1.0003018137139899</v>
      </c>
      <c r="L323" s="1">
        <f t="shared" si="35"/>
        <v>1.0026834674558531</v>
      </c>
      <c r="M323" s="1"/>
      <c r="N323" s="1"/>
      <c r="Q323" s="7">
        <f t="shared" si="36"/>
        <v>-0.45444563881114569</v>
      </c>
      <c r="R323" s="7">
        <f t="shared" si="37"/>
        <v>-1.0447908524408815</v>
      </c>
      <c r="S323" s="7">
        <f t="shared" si="41"/>
        <v>0.52607320831401061</v>
      </c>
      <c r="T323" s="7">
        <f t="shared" si="38"/>
        <v>-0.75869172449803512</v>
      </c>
      <c r="V323" s="7">
        <f t="shared" si="39"/>
        <v>-0.43296375185901292</v>
      </c>
      <c r="AF323" s="7">
        <f t="shared" si="40"/>
        <v>-0.52173526693676664</v>
      </c>
    </row>
    <row r="324" spans="1:32" x14ac:dyDescent="0.35">
      <c r="A324" t="s">
        <v>40</v>
      </c>
      <c r="B324">
        <v>1989</v>
      </c>
      <c r="C324" s="7">
        <v>1989.25</v>
      </c>
      <c r="D324" s="1">
        <v>0.98593818286553592</v>
      </c>
      <c r="E324" s="7">
        <v>1989.25</v>
      </c>
      <c r="F324" s="1">
        <v>0.95720629429740334</v>
      </c>
      <c r="G324" s="7">
        <v>1989.25</v>
      </c>
      <c r="H324" s="1">
        <v>1.0485627235041965</v>
      </c>
      <c r="I324" s="7">
        <v>1989.25</v>
      </c>
      <c r="J324" s="1">
        <v>1.0018444705929743</v>
      </c>
      <c r="L324" s="1">
        <f t="shared" si="35"/>
        <v>0.99838791781502745</v>
      </c>
      <c r="M324" s="1"/>
      <c r="N324" s="1"/>
      <c r="Q324" s="7">
        <f t="shared" si="36"/>
        <v>-0.81837522773314875</v>
      </c>
      <c r="R324" s="7">
        <f t="shared" si="37"/>
        <v>-1.2217108870716997</v>
      </c>
      <c r="S324" s="7">
        <f t="shared" si="41"/>
        <v>0.46617638765544767</v>
      </c>
      <c r="T324" s="7">
        <f t="shared" si="38"/>
        <v>-0.71048303976647165</v>
      </c>
      <c r="V324" s="7">
        <f t="shared" si="39"/>
        <v>-0.57109819172896814</v>
      </c>
      <c r="AF324" s="7">
        <f t="shared" si="40"/>
        <v>-0.66591685600030415</v>
      </c>
    </row>
    <row r="325" spans="1:32" x14ac:dyDescent="0.35">
      <c r="A325" t="s">
        <v>38</v>
      </c>
      <c r="B325">
        <v>1989</v>
      </c>
      <c r="C325" s="7">
        <v>1989.1666666666665</v>
      </c>
      <c r="D325" s="1">
        <v>0.99009540685611364</v>
      </c>
      <c r="E325" s="7">
        <v>1989.1666666666665</v>
      </c>
      <c r="F325" s="1">
        <v>0.96229162742760843</v>
      </c>
      <c r="G325" s="7">
        <v>1989.1666666666665</v>
      </c>
      <c r="H325" s="1">
        <v>1.072017832362494</v>
      </c>
      <c r="I325" s="7">
        <v>1989.1666666666665</v>
      </c>
      <c r="J325" s="1">
        <v>1.0342774954936551</v>
      </c>
      <c r="L325" s="1">
        <f t="shared" ref="L325:L388" si="42">AVERAGE(D325,F325,H325,J325)</f>
        <v>1.0146705905349678</v>
      </c>
      <c r="M325" s="1"/>
      <c r="N325" s="1"/>
      <c r="Q325" s="7">
        <f t="shared" ref="Q325:Q388" si="43">STANDARDIZE(D325, AVERAGE($D$5:$D$411), _xlfn.STDEV.P($L$5:$L$1820))</f>
        <v>-0.67882523566592967</v>
      </c>
      <c r="R325" s="7">
        <f t="shared" ref="R325:R388" si="44">STANDARDIZE(F325, AVERAGE($F$4:$F$747), _xlfn.STDEV.P($F$4:$F$747))</f>
        <v>-1.0650829411291027</v>
      </c>
      <c r="S325" s="7">
        <f t="shared" si="41"/>
        <v>1.12292717346601</v>
      </c>
      <c r="T325" s="7">
        <f t="shared" ref="T325:T388" si="45">STANDARDIZE(J325,AVERAGE($J$4:$J$795),_xlfn.STDEV.P($J$4:$J$795))</f>
        <v>0.30306280677145098</v>
      </c>
      <c r="V325" s="7">
        <f t="shared" ref="V325:V388" si="46">AVERAGE(Q325,R325,S325,T325)</f>
        <v>-7.9479549139392855E-2</v>
      </c>
      <c r="AF325" s="7">
        <f t="shared" ref="AF325:AF388" si="47">STANDARDIZE(L325,L$1,L$2)</f>
        <v>-0.11938339153980566</v>
      </c>
    </row>
    <row r="326" spans="1:32" x14ac:dyDescent="0.35">
      <c r="A326" t="s">
        <v>36</v>
      </c>
      <c r="B326">
        <v>1989</v>
      </c>
      <c r="C326" s="7">
        <v>1989.0833333333333</v>
      </c>
      <c r="D326" s="1">
        <v>1.0190270209853003</v>
      </c>
      <c r="E326" s="7">
        <v>1989.0833333333333</v>
      </c>
      <c r="F326" s="1">
        <v>1.0019354956883064</v>
      </c>
      <c r="G326" s="7">
        <v>1989.0833333333333</v>
      </c>
      <c r="H326" s="1">
        <v>1.1143209787786272</v>
      </c>
      <c r="I326" s="7">
        <v>1989.0833333333333</v>
      </c>
      <c r="J326" s="1">
        <v>1.1078004913299038</v>
      </c>
      <c r="L326" s="1">
        <f t="shared" si="42"/>
        <v>1.0607709966955345</v>
      </c>
      <c r="M326" s="1"/>
      <c r="N326" s="1"/>
      <c r="Q326" s="7">
        <f t="shared" si="43"/>
        <v>0.29235325540661328</v>
      </c>
      <c r="R326" s="7">
        <f t="shared" si="44"/>
        <v>0.15594574979593243</v>
      </c>
      <c r="S326" s="7">
        <f t="shared" si="41"/>
        <v>2.3074292288135965</v>
      </c>
      <c r="T326" s="7">
        <f t="shared" si="45"/>
        <v>2.6006877518098221</v>
      </c>
      <c r="V326" s="7">
        <f t="shared" si="46"/>
        <v>1.339103996456491</v>
      </c>
      <c r="AF326" s="7">
        <f t="shared" si="47"/>
        <v>1.427992467775691</v>
      </c>
    </row>
    <row r="327" spans="1:32" x14ac:dyDescent="0.35">
      <c r="A327" t="s">
        <v>34</v>
      </c>
      <c r="B327">
        <v>1989</v>
      </c>
      <c r="C327" s="7">
        <v>1989</v>
      </c>
      <c r="D327" s="1">
        <v>1.0880399051242688</v>
      </c>
      <c r="E327" s="7">
        <v>1989</v>
      </c>
      <c r="F327" s="1">
        <v>1.0879514321822257</v>
      </c>
      <c r="G327" s="7">
        <v>1989</v>
      </c>
      <c r="H327" s="1">
        <v>1.1389827091709186</v>
      </c>
      <c r="I327" s="7">
        <v>1989</v>
      </c>
      <c r="J327" s="1">
        <v>1.1264565380436267</v>
      </c>
      <c r="L327" s="1">
        <f t="shared" si="42"/>
        <v>1.11035764613026</v>
      </c>
      <c r="M327" s="1"/>
      <c r="N327" s="1"/>
      <c r="Q327" s="7">
        <f t="shared" si="43"/>
        <v>2.6089826831105118</v>
      </c>
      <c r="R327" s="7">
        <f t="shared" si="44"/>
        <v>2.8052312747401125</v>
      </c>
      <c r="S327" s="7">
        <f t="shared" si="41"/>
        <v>2.9979658156372322</v>
      </c>
      <c r="T327" s="7">
        <f t="shared" si="45"/>
        <v>3.1836971601957296</v>
      </c>
      <c r="V327" s="7">
        <f t="shared" si="46"/>
        <v>2.8989692334208965</v>
      </c>
      <c r="AF327" s="7">
        <f t="shared" si="47"/>
        <v>3.0923852718735212</v>
      </c>
    </row>
    <row r="328" spans="1:32" x14ac:dyDescent="0.35">
      <c r="A328" t="s">
        <v>33</v>
      </c>
      <c r="B328">
        <v>1988</v>
      </c>
      <c r="C328" s="7">
        <v>1988.9166666666599</v>
      </c>
      <c r="D328">
        <v>1.1224100684393599</v>
      </c>
      <c r="E328" s="7">
        <v>1988.9166666666599</v>
      </c>
      <c r="F328" s="1">
        <v>1.065274205730482</v>
      </c>
      <c r="G328" s="7">
        <v>1988.9166666666599</v>
      </c>
      <c r="H328" s="1">
        <v>1.1453465041774573</v>
      </c>
      <c r="I328" s="7">
        <v>1988.9166666666599</v>
      </c>
      <c r="J328" s="1">
        <v>1.1303067649867398</v>
      </c>
      <c r="L328" s="1">
        <f t="shared" si="42"/>
        <v>1.1158343858335098</v>
      </c>
      <c r="M328" s="1"/>
      <c r="N328" s="1"/>
      <c r="Q328" s="7">
        <f t="shared" si="43"/>
        <v>3.7627227819940079</v>
      </c>
      <c r="R328" s="7">
        <f t="shared" si="44"/>
        <v>2.1067741023447062</v>
      </c>
      <c r="S328" s="7">
        <f t="shared" si="41"/>
        <v>3.1761541752194185</v>
      </c>
      <c r="T328" s="7">
        <f t="shared" si="45"/>
        <v>3.3040183925929818</v>
      </c>
      <c r="V328" s="7">
        <f t="shared" si="46"/>
        <v>3.0874173630377784</v>
      </c>
      <c r="AF328" s="7">
        <f t="shared" si="47"/>
        <v>3.2762139083294928</v>
      </c>
    </row>
    <row r="329" spans="1:32" x14ac:dyDescent="0.35">
      <c r="A329" t="s">
        <v>35</v>
      </c>
      <c r="B329">
        <v>1988</v>
      </c>
      <c r="C329" s="7">
        <v>1988.8333333333301</v>
      </c>
      <c r="D329">
        <v>1.0984975750065997</v>
      </c>
      <c r="E329" s="7">
        <v>1988.8333333333301</v>
      </c>
      <c r="F329" s="1">
        <v>1.0413697367170989</v>
      </c>
      <c r="G329" s="7">
        <v>1988.8333333333301</v>
      </c>
      <c r="H329" s="1">
        <v>1.1185571137340657</v>
      </c>
      <c r="I329" s="7">
        <v>1988.8333333333301</v>
      </c>
      <c r="J329" s="1">
        <v>1.1054567235449071</v>
      </c>
      <c r="L329" s="1">
        <f t="shared" si="42"/>
        <v>1.0909702872506679</v>
      </c>
      <c r="M329" s="1"/>
      <c r="N329" s="1"/>
      <c r="Q329" s="7">
        <f t="shared" si="43"/>
        <v>2.9600264932175699</v>
      </c>
      <c r="R329" s="7">
        <f t="shared" si="44"/>
        <v>1.3705179349412424</v>
      </c>
      <c r="S329" s="7">
        <f t="shared" si="41"/>
        <v>2.4260424050555662</v>
      </c>
      <c r="T329" s="7">
        <f t="shared" si="45"/>
        <v>2.5274440099446314</v>
      </c>
      <c r="V329" s="7">
        <f t="shared" si="46"/>
        <v>2.3210077107897522</v>
      </c>
      <c r="AF329" s="7">
        <f t="shared" si="47"/>
        <v>2.4416419573422132</v>
      </c>
    </row>
    <row r="330" spans="1:32" x14ac:dyDescent="0.35">
      <c r="A330" t="s">
        <v>37</v>
      </c>
      <c r="B330">
        <v>1988</v>
      </c>
      <c r="C330" s="7">
        <v>1988.75</v>
      </c>
      <c r="D330">
        <v>1.0746345396919297</v>
      </c>
      <c r="E330" s="7">
        <v>1988.75</v>
      </c>
      <c r="F330" s="1">
        <v>1.0257153523544069</v>
      </c>
      <c r="G330" s="7">
        <v>1988.75</v>
      </c>
      <c r="H330" s="1">
        <v>1.0837865867925487</v>
      </c>
      <c r="I330" s="7">
        <v>1988.75</v>
      </c>
      <c r="J330" s="1">
        <v>1.0728033120286262</v>
      </c>
      <c r="L330" s="1">
        <f t="shared" si="42"/>
        <v>1.064234947716878</v>
      </c>
      <c r="M330" s="1"/>
      <c r="N330" s="1"/>
      <c r="Q330" s="7">
        <f t="shared" si="43"/>
        <v>2.1589904180843651</v>
      </c>
      <c r="R330" s="7">
        <f t="shared" si="44"/>
        <v>0.88836386460888983</v>
      </c>
      <c r="S330" s="7">
        <f t="shared" si="41"/>
        <v>1.4524561799884277</v>
      </c>
      <c r="T330" s="7">
        <f t="shared" si="45"/>
        <v>1.5070109877714404</v>
      </c>
      <c r="V330" s="7">
        <f t="shared" si="46"/>
        <v>1.5017053626132806</v>
      </c>
      <c r="AF330" s="7">
        <f t="shared" si="47"/>
        <v>1.5442611654875771</v>
      </c>
    </row>
    <row r="331" spans="1:32" x14ac:dyDescent="0.35">
      <c r="A331" t="s">
        <v>39</v>
      </c>
      <c r="B331">
        <v>1988</v>
      </c>
      <c r="C331" s="7">
        <v>1988.6666666666599</v>
      </c>
      <c r="D331">
        <v>1.0484520650536415</v>
      </c>
      <c r="E331" s="7">
        <v>1988.6666666666599</v>
      </c>
      <c r="F331" s="1">
        <v>1.0130803207897161</v>
      </c>
      <c r="G331" s="7">
        <v>1988.6666666666599</v>
      </c>
      <c r="H331" s="1">
        <v>1.0582635634790287</v>
      </c>
      <c r="I331" s="7">
        <v>1988.6666666666599</v>
      </c>
      <c r="J331" s="1">
        <v>1.0445841263444873</v>
      </c>
      <c r="L331" s="1">
        <f t="shared" si="42"/>
        <v>1.0410950189167185</v>
      </c>
      <c r="M331" s="1"/>
      <c r="N331" s="1"/>
      <c r="Q331" s="7">
        <f t="shared" si="43"/>
        <v>1.2800952379462542</v>
      </c>
      <c r="R331" s="7">
        <f t="shared" si="44"/>
        <v>0.49920567374370578</v>
      </c>
      <c r="S331" s="7">
        <f t="shared" si="41"/>
        <v>0.73780310723213927</v>
      </c>
      <c r="T331" s="7">
        <f t="shared" si="45"/>
        <v>0.62514941209580621</v>
      </c>
      <c r="V331" s="7">
        <f t="shared" si="46"/>
        <v>0.78556335775447639</v>
      </c>
      <c r="AF331" s="7">
        <f t="shared" si="47"/>
        <v>0.76756156143346044</v>
      </c>
    </row>
    <row r="332" spans="1:32" x14ac:dyDescent="0.35">
      <c r="A332" t="s">
        <v>41</v>
      </c>
      <c r="B332">
        <v>1988</v>
      </c>
      <c r="C332" s="7">
        <v>1988.5833333333301</v>
      </c>
      <c r="D332">
        <v>1.022893611500892</v>
      </c>
      <c r="E332" s="7">
        <v>1988.5833333333301</v>
      </c>
      <c r="F332" s="1">
        <v>0.99383859441617239</v>
      </c>
      <c r="G332" s="7">
        <v>1988.5833333333301</v>
      </c>
      <c r="H332" s="1">
        <v>1.0423882654419507</v>
      </c>
      <c r="I332" s="7">
        <v>1988.5833333333301</v>
      </c>
      <c r="J332" s="1">
        <v>1.0254025431253098</v>
      </c>
      <c r="L332" s="1">
        <f t="shared" si="42"/>
        <v>1.0211307536210812</v>
      </c>
      <c r="M332" s="1"/>
      <c r="N332" s="1"/>
      <c r="Q332" s="7">
        <f t="shared" si="43"/>
        <v>0.42214724221150035</v>
      </c>
      <c r="R332" s="7">
        <f t="shared" si="44"/>
        <v>-9.3438308688197858E-2</v>
      </c>
      <c r="S332" s="7">
        <f t="shared" si="41"/>
        <v>0.29328952497521865</v>
      </c>
      <c r="T332" s="7">
        <f t="shared" si="45"/>
        <v>2.5716764004730452E-2</v>
      </c>
      <c r="V332" s="7">
        <f t="shared" si="46"/>
        <v>0.16192880562581291</v>
      </c>
      <c r="AF332" s="7">
        <f t="shared" si="47"/>
        <v>9.7454186243697699E-2</v>
      </c>
    </row>
    <row r="333" spans="1:32" x14ac:dyDescent="0.35">
      <c r="A333" t="s">
        <v>43</v>
      </c>
      <c r="B333">
        <v>1988</v>
      </c>
      <c r="C333" s="7">
        <v>1988.5</v>
      </c>
      <c r="D333">
        <v>1.008261832200309</v>
      </c>
      <c r="E333" s="7">
        <v>1988.5</v>
      </c>
      <c r="F333" s="1">
        <v>0.97975947265754515</v>
      </c>
      <c r="G333" s="7">
        <v>1988.5</v>
      </c>
      <c r="H333" s="1">
        <v>1.0330243105331312</v>
      </c>
      <c r="I333" s="7">
        <v>1988.5</v>
      </c>
      <c r="J333" s="1">
        <v>1.016231759897934</v>
      </c>
      <c r="L333" s="1">
        <f t="shared" si="42"/>
        <v>1.0093193438222299</v>
      </c>
      <c r="M333" s="1"/>
      <c r="N333" s="1"/>
      <c r="Q333" s="7">
        <f t="shared" si="43"/>
        <v>-6.9013371205894292E-2</v>
      </c>
      <c r="R333" s="7">
        <f t="shared" si="44"/>
        <v>-0.52707438822672192</v>
      </c>
      <c r="S333" s="7">
        <f t="shared" si="41"/>
        <v>3.109569838436985E-2</v>
      </c>
      <c r="T333" s="7">
        <f t="shared" si="45"/>
        <v>-0.2608741191481766</v>
      </c>
      <c r="V333" s="7">
        <f t="shared" si="46"/>
        <v>-0.20646654504910572</v>
      </c>
      <c r="AF333" s="7">
        <f t="shared" si="47"/>
        <v>-0.29899981295899247</v>
      </c>
    </row>
    <row r="334" spans="1:32" x14ac:dyDescent="0.35">
      <c r="A334" t="s">
        <v>44</v>
      </c>
      <c r="B334">
        <v>1988</v>
      </c>
      <c r="C334" s="7">
        <v>1988.4166666666599</v>
      </c>
      <c r="D334">
        <v>1.0001101049509591</v>
      </c>
      <c r="E334" s="7">
        <v>1988.4166666666599</v>
      </c>
      <c r="F334" s="1">
        <v>0.97030279819534759</v>
      </c>
      <c r="G334" s="7">
        <v>1988.4166666666599</v>
      </c>
      <c r="H334" s="1">
        <v>1.0250574218604447</v>
      </c>
      <c r="I334" s="7">
        <v>1988.4166666666599</v>
      </c>
      <c r="J334" s="1">
        <v>1.0127852738650316</v>
      </c>
      <c r="L334" s="1">
        <f t="shared" si="42"/>
        <v>1.0020638997179456</v>
      </c>
      <c r="M334" s="1"/>
      <c r="N334" s="1"/>
      <c r="Q334" s="7">
        <f t="shared" si="43"/>
        <v>-0.34265113418407417</v>
      </c>
      <c r="R334" s="7">
        <f t="shared" si="44"/>
        <v>-0.81833937687891645</v>
      </c>
      <c r="S334" s="7">
        <f t="shared" si="41"/>
        <v>-0.19197981270630407</v>
      </c>
      <c r="T334" s="7">
        <f t="shared" si="45"/>
        <v>-0.36857827608377886</v>
      </c>
      <c r="V334" s="7">
        <f t="shared" si="46"/>
        <v>-0.43038714996326838</v>
      </c>
      <c r="AF334" s="7">
        <f t="shared" si="47"/>
        <v>-0.54253126941686691</v>
      </c>
    </row>
    <row r="335" spans="1:32" x14ac:dyDescent="0.35">
      <c r="A335" t="s">
        <v>42</v>
      </c>
      <c r="B335">
        <v>1988</v>
      </c>
      <c r="C335" s="7">
        <v>1988.3333333333301</v>
      </c>
      <c r="D335">
        <v>0.99704951245891216</v>
      </c>
      <c r="E335" s="7">
        <v>1988.3333333333301</v>
      </c>
      <c r="F335" s="1">
        <v>0.96241215879552755</v>
      </c>
      <c r="G335" s="7">
        <v>1988.3333333333301</v>
      </c>
      <c r="H335" s="1">
        <v>1.0210793871681723</v>
      </c>
      <c r="I335" s="7">
        <v>1988.3333333333301</v>
      </c>
      <c r="J335" s="1">
        <v>1.0032604788187602</v>
      </c>
      <c r="L335" s="1">
        <f t="shared" si="42"/>
        <v>0.99595038431034311</v>
      </c>
      <c r="M335" s="1"/>
      <c r="N335" s="1"/>
      <c r="Q335" s="7">
        <f t="shared" si="43"/>
        <v>-0.44538932172320317</v>
      </c>
      <c r="R335" s="7">
        <f t="shared" si="44"/>
        <v>-1.0613705824506336</v>
      </c>
      <c r="S335" s="7">
        <f t="shared" si="41"/>
        <v>-0.30336609643303114</v>
      </c>
      <c r="T335" s="7">
        <f t="shared" si="45"/>
        <v>-0.66623217940719881</v>
      </c>
      <c r="V335" s="7">
        <f t="shared" si="46"/>
        <v>-0.61908954500351676</v>
      </c>
      <c r="AF335" s="7">
        <f t="shared" si="47"/>
        <v>-0.7477334996169398</v>
      </c>
    </row>
    <row r="336" spans="1:32" x14ac:dyDescent="0.35">
      <c r="A336" t="s">
        <v>40</v>
      </c>
      <c r="B336">
        <v>1988</v>
      </c>
      <c r="C336" s="7">
        <v>1988.25</v>
      </c>
      <c r="D336">
        <v>0.99390080692048732</v>
      </c>
      <c r="E336" s="7">
        <v>1988.24999999999</v>
      </c>
      <c r="F336" s="1">
        <v>0.95459547168761605</v>
      </c>
      <c r="G336" s="7">
        <v>1988.25</v>
      </c>
      <c r="H336" s="1">
        <v>1.0186265782446386</v>
      </c>
      <c r="I336" s="7">
        <v>1988.24999999999</v>
      </c>
      <c r="J336" s="1">
        <v>0.99736333239904207</v>
      </c>
      <c r="L336" s="1">
        <f t="shared" si="42"/>
        <v>0.99112154731294599</v>
      </c>
      <c r="M336" s="1"/>
      <c r="N336" s="1"/>
      <c r="Q336" s="7">
        <f t="shared" si="43"/>
        <v>-0.55108529430132069</v>
      </c>
      <c r="R336" s="7">
        <f t="shared" si="44"/>
        <v>-1.3021240620046428</v>
      </c>
      <c r="S336" s="7">
        <f t="shared" ref="S336:S399" si="48">STANDARDIZE(H336, AVERAGE($H$4:$H$891), _xlfn.STDEV.P($H$4:$H$891))</f>
        <v>-0.37204555546713375</v>
      </c>
      <c r="T336" s="7">
        <f t="shared" si="45"/>
        <v>-0.85052051755742386</v>
      </c>
      <c r="V336" s="7">
        <f t="shared" si="46"/>
        <v>-0.76894385733263027</v>
      </c>
      <c r="AF336" s="7">
        <f t="shared" si="47"/>
        <v>-0.90981506072763607</v>
      </c>
    </row>
    <row r="337" spans="1:32" x14ac:dyDescent="0.35">
      <c r="A337" t="s">
        <v>38</v>
      </c>
      <c r="B337">
        <v>1988</v>
      </c>
      <c r="C337" s="7">
        <v>1988.1666666666599</v>
      </c>
      <c r="D337">
        <v>0.998781730862636</v>
      </c>
      <c r="E337" s="7">
        <v>1988.1666666666599</v>
      </c>
      <c r="F337" s="1">
        <v>0.95190596690780349</v>
      </c>
      <c r="G337" s="7">
        <v>1988.1666666666599</v>
      </c>
      <c r="H337" s="1">
        <v>1.0253445561197139</v>
      </c>
      <c r="I337" s="7">
        <v>1988.1666666666599</v>
      </c>
      <c r="J337" s="1">
        <v>0.99567923611167641</v>
      </c>
      <c r="L337" s="1">
        <f t="shared" si="42"/>
        <v>0.99292787250045744</v>
      </c>
      <c r="M337" s="1"/>
      <c r="N337" s="1"/>
      <c r="Q337" s="7">
        <f t="shared" si="43"/>
        <v>-0.38724209053089015</v>
      </c>
      <c r="R337" s="7">
        <f t="shared" si="44"/>
        <v>-1.3849606429088022</v>
      </c>
      <c r="S337" s="7">
        <f t="shared" si="48"/>
        <v>-0.183939958721936</v>
      </c>
      <c r="T337" s="7">
        <f t="shared" si="45"/>
        <v>-0.90314924406247354</v>
      </c>
      <c r="V337" s="7">
        <f t="shared" si="46"/>
        <v>-0.7148229840560254</v>
      </c>
      <c r="AF337" s="7">
        <f t="shared" si="47"/>
        <v>-0.84918513960517128</v>
      </c>
    </row>
    <row r="338" spans="1:32" x14ac:dyDescent="0.35">
      <c r="A338" t="s">
        <v>36</v>
      </c>
      <c r="B338">
        <v>1988</v>
      </c>
      <c r="C338" s="7">
        <v>1988.0833333333301</v>
      </c>
      <c r="D338">
        <v>1.0154563153759899</v>
      </c>
      <c r="E338" s="7">
        <v>1988.0833333333301</v>
      </c>
      <c r="F338" s="1">
        <v>0.98986462953385168</v>
      </c>
      <c r="G338" s="7">
        <v>1988.0833333333301</v>
      </c>
      <c r="H338" s="1">
        <v>1.0456430841640878</v>
      </c>
      <c r="I338" s="7">
        <v>1988.0833333333301</v>
      </c>
      <c r="J338" s="1">
        <v>1.0300780036753716</v>
      </c>
      <c r="L338" s="1">
        <f t="shared" si="42"/>
        <v>1.0202605081873253</v>
      </c>
      <c r="M338" s="1"/>
      <c r="N338" s="1"/>
      <c r="Q338" s="7">
        <f t="shared" si="43"/>
        <v>0.17249155428514129</v>
      </c>
      <c r="R338" s="7">
        <f t="shared" si="44"/>
        <v>-0.21583618132094001</v>
      </c>
      <c r="S338" s="7">
        <f t="shared" si="48"/>
        <v>0.38442552295112437</v>
      </c>
      <c r="T338" s="7">
        <f t="shared" si="45"/>
        <v>0.1718268982175781</v>
      </c>
      <c r="V338" s="7">
        <f t="shared" si="46"/>
        <v>0.12822694853322594</v>
      </c>
      <c r="AF338" s="7">
        <f t="shared" si="47"/>
        <v>6.8244101387107237E-2</v>
      </c>
    </row>
    <row r="339" spans="1:32" x14ac:dyDescent="0.35">
      <c r="A339" t="s">
        <v>34</v>
      </c>
      <c r="B339">
        <v>1988</v>
      </c>
      <c r="C339" s="7">
        <v>1988</v>
      </c>
      <c r="D339">
        <v>1.0642010669526245</v>
      </c>
      <c r="E339" s="7">
        <v>1987.99999999999</v>
      </c>
      <c r="F339" s="1">
        <v>1.0252538065280348</v>
      </c>
      <c r="G339" s="7">
        <v>1988</v>
      </c>
      <c r="H339" s="1">
        <v>1.0601124421318366</v>
      </c>
      <c r="I339" s="7">
        <v>1987.99999999999</v>
      </c>
      <c r="J339" s="1">
        <v>1.0733714786424071</v>
      </c>
      <c r="L339" s="1">
        <f t="shared" si="42"/>
        <v>1.0557346985637257</v>
      </c>
      <c r="M339" s="1"/>
      <c r="N339" s="1"/>
      <c r="Q339" s="7">
        <f t="shared" si="43"/>
        <v>1.8087588594039656</v>
      </c>
      <c r="R339" s="7">
        <f t="shared" si="44"/>
        <v>0.87414828169777936</v>
      </c>
      <c r="S339" s="7">
        <f t="shared" si="48"/>
        <v>0.7895723194509271</v>
      </c>
      <c r="T339" s="7">
        <f t="shared" si="45"/>
        <v>1.5247664365247591</v>
      </c>
      <c r="V339" s="7">
        <f t="shared" si="46"/>
        <v>1.2493114742693578</v>
      </c>
      <c r="AF339" s="7">
        <f t="shared" si="47"/>
        <v>1.258947402915878</v>
      </c>
    </row>
    <row r="340" spans="1:32" x14ac:dyDescent="0.35">
      <c r="A340" t="s">
        <v>33</v>
      </c>
      <c r="B340">
        <v>1987</v>
      </c>
      <c r="C340" s="7">
        <v>1987.9166666666599</v>
      </c>
      <c r="D340">
        <v>1.0756984383158565</v>
      </c>
      <c r="E340" s="7">
        <v>1987.9166666666599</v>
      </c>
      <c r="F340" s="1">
        <v>1.0263465325131402</v>
      </c>
      <c r="G340" s="7">
        <v>1987.9166666666599</v>
      </c>
      <c r="H340" s="1">
        <v>1.0599844387131274</v>
      </c>
      <c r="I340" s="7">
        <v>1987.9166666666599</v>
      </c>
      <c r="J340" s="1">
        <v>1.0854694240524467</v>
      </c>
      <c r="L340" s="1">
        <f t="shared" si="42"/>
        <v>1.0618747083986428</v>
      </c>
      <c r="M340" s="1"/>
      <c r="N340" s="1"/>
      <c r="Q340" s="7">
        <f t="shared" si="43"/>
        <v>2.1947034431380588</v>
      </c>
      <c r="R340" s="7">
        <f t="shared" si="44"/>
        <v>0.9078041744668468</v>
      </c>
      <c r="S340" s="7">
        <f t="shared" si="48"/>
        <v>0.78598818149908045</v>
      </c>
      <c r="T340" s="7">
        <f t="shared" si="45"/>
        <v>1.9028323850305611</v>
      </c>
      <c r="V340" s="7">
        <f t="shared" si="46"/>
        <v>1.4478320460336367</v>
      </c>
      <c r="AF340" s="7">
        <f t="shared" si="47"/>
        <v>1.4650389276069851</v>
      </c>
    </row>
    <row r="341" spans="1:32" x14ac:dyDescent="0.35">
      <c r="A341" t="s">
        <v>35</v>
      </c>
      <c r="B341">
        <v>1987</v>
      </c>
      <c r="C341" s="7">
        <v>1987.8333333333301</v>
      </c>
      <c r="D341">
        <v>1.0700602656128957</v>
      </c>
      <c r="E341" s="7">
        <v>1987.8333333333301</v>
      </c>
      <c r="F341" s="1">
        <v>1.025143257031444</v>
      </c>
      <c r="G341" s="7">
        <v>1987.8333333333301</v>
      </c>
      <c r="H341" s="1">
        <v>1.0577653948100811</v>
      </c>
      <c r="I341" s="7">
        <v>1987.8333333333301</v>
      </c>
      <c r="J341" s="1">
        <v>1.0483436665103492</v>
      </c>
      <c r="L341" s="1">
        <f t="shared" si="42"/>
        <v>1.0503281459911926</v>
      </c>
      <c r="M341" s="1"/>
      <c r="N341" s="1"/>
      <c r="Q341" s="7">
        <f t="shared" si="43"/>
        <v>2.0054408588377939</v>
      </c>
      <c r="R341" s="7">
        <f t="shared" si="44"/>
        <v>0.87074336403896402</v>
      </c>
      <c r="S341" s="7">
        <f t="shared" si="48"/>
        <v>0.72385422015708367</v>
      </c>
      <c r="T341" s="7">
        <f t="shared" si="45"/>
        <v>0.74263664406601393</v>
      </c>
      <c r="V341" s="7">
        <f t="shared" si="46"/>
        <v>1.0856687717749638</v>
      </c>
      <c r="AF341" s="7">
        <f t="shared" si="47"/>
        <v>1.0774746214458126</v>
      </c>
    </row>
    <row r="342" spans="1:32" x14ac:dyDescent="0.35">
      <c r="A342" t="s">
        <v>37</v>
      </c>
      <c r="B342">
        <v>1987</v>
      </c>
      <c r="C342" s="7">
        <v>1987.75</v>
      </c>
      <c r="D342">
        <v>1.0563426813493433</v>
      </c>
      <c r="E342" s="7">
        <v>1987.74999999999</v>
      </c>
      <c r="F342" s="1">
        <v>1.0214228936233694</v>
      </c>
      <c r="G342" s="7">
        <v>1987.75</v>
      </c>
      <c r="H342" s="1">
        <v>1.0616502113735817</v>
      </c>
      <c r="I342" s="7">
        <v>1987.74999999999</v>
      </c>
      <c r="J342" s="1">
        <v>1.0326821893794633</v>
      </c>
      <c r="L342" s="1">
        <f t="shared" si="42"/>
        <v>1.0430244939314395</v>
      </c>
      <c r="M342" s="1"/>
      <c r="N342" s="1"/>
      <c r="Q342" s="7">
        <f t="shared" si="43"/>
        <v>1.5449680097685945</v>
      </c>
      <c r="R342" s="7">
        <f t="shared" si="44"/>
        <v>0.75615640113074711</v>
      </c>
      <c r="S342" s="7">
        <f t="shared" si="48"/>
        <v>0.83263036552578584</v>
      </c>
      <c r="T342" s="7">
        <f t="shared" si="45"/>
        <v>0.25320881100796311</v>
      </c>
      <c r="V342" s="7">
        <f t="shared" si="46"/>
        <v>0.84674089685827258</v>
      </c>
      <c r="AF342" s="7">
        <f t="shared" si="47"/>
        <v>0.83232504851712652</v>
      </c>
    </row>
    <row r="343" spans="1:32" x14ac:dyDescent="0.35">
      <c r="A343" t="s">
        <v>39</v>
      </c>
      <c r="B343">
        <v>1987</v>
      </c>
      <c r="C343" s="7">
        <v>1987.6666666666599</v>
      </c>
      <c r="D343">
        <v>1.0406784514325458</v>
      </c>
      <c r="E343" s="7">
        <v>1987.6666666666599</v>
      </c>
      <c r="F343" s="1">
        <v>1.0080382085255939</v>
      </c>
      <c r="G343" s="7">
        <v>1987.6666666666599</v>
      </c>
      <c r="H343" s="1">
        <v>1.0429073618992488</v>
      </c>
      <c r="I343" s="7">
        <v>1987.6666666666599</v>
      </c>
      <c r="J343" s="1">
        <v>1.0170556897559879</v>
      </c>
      <c r="L343" s="1">
        <f t="shared" si="42"/>
        <v>1.0271699279033442</v>
      </c>
      <c r="M343" s="1"/>
      <c r="N343" s="1"/>
      <c r="Q343" s="7">
        <f t="shared" si="43"/>
        <v>1.0191500202682469</v>
      </c>
      <c r="R343" s="7">
        <f t="shared" si="44"/>
        <v>0.3439089278037622</v>
      </c>
      <c r="S343" s="7">
        <f t="shared" si="48"/>
        <v>0.30782439702811021</v>
      </c>
      <c r="T343" s="7">
        <f t="shared" si="45"/>
        <v>-0.23512596004101949</v>
      </c>
      <c r="V343" s="7">
        <f t="shared" si="46"/>
        <v>0.35893934626477497</v>
      </c>
      <c r="AF343" s="7">
        <f t="shared" si="47"/>
        <v>0.30016113121126947</v>
      </c>
    </row>
    <row r="344" spans="1:32" x14ac:dyDescent="0.35">
      <c r="A344" t="s">
        <v>41</v>
      </c>
      <c r="B344">
        <v>1987</v>
      </c>
      <c r="C344" s="7">
        <v>1987.5833333333301</v>
      </c>
      <c r="D344">
        <v>1.0151032680490759</v>
      </c>
      <c r="E344" s="7">
        <v>1987.5833333333301</v>
      </c>
      <c r="F344" s="1">
        <v>0.99663190551361425</v>
      </c>
      <c r="G344" s="7">
        <v>1987.5833333333301</v>
      </c>
      <c r="H344" s="1">
        <v>1.0267778740534539</v>
      </c>
      <c r="I344" s="7">
        <v>1987.5833333333301</v>
      </c>
      <c r="J344" s="1">
        <v>1.0150005089973124</v>
      </c>
      <c r="L344" s="1">
        <f t="shared" si="42"/>
        <v>1.0133783891533641</v>
      </c>
      <c r="M344" s="1"/>
      <c r="N344" s="1"/>
      <c r="Q344" s="7">
        <f t="shared" si="43"/>
        <v>0.16064043638005246</v>
      </c>
      <c r="R344" s="7">
        <f t="shared" si="44"/>
        <v>-7.4044996202492384E-3</v>
      </c>
      <c r="S344" s="7">
        <f t="shared" si="48"/>
        <v>-0.14380658372942884</v>
      </c>
      <c r="T344" s="7">
        <f t="shared" si="45"/>
        <v>-0.29935123437848926</v>
      </c>
      <c r="V344" s="7">
        <f t="shared" si="46"/>
        <v>-7.248047033702873E-2</v>
      </c>
      <c r="AF344" s="7">
        <f t="shared" si="47"/>
        <v>-0.16275657173052641</v>
      </c>
    </row>
    <row r="345" spans="1:32" x14ac:dyDescent="0.35">
      <c r="A345" t="s">
        <v>43</v>
      </c>
      <c r="B345">
        <v>1987</v>
      </c>
      <c r="C345" s="7">
        <v>1987.5</v>
      </c>
      <c r="D345">
        <v>1.0029316736849112</v>
      </c>
      <c r="E345" s="7">
        <v>1987.49999999999</v>
      </c>
      <c r="F345" s="1">
        <v>0.98872313900400233</v>
      </c>
      <c r="G345" s="7">
        <v>1987.5</v>
      </c>
      <c r="H345" s="1">
        <v>1.0068761703651032</v>
      </c>
      <c r="I345" s="7">
        <v>1987.49999999999</v>
      </c>
      <c r="J345" s="1">
        <v>1.0141771924614922</v>
      </c>
      <c r="L345" s="1">
        <f t="shared" si="42"/>
        <v>1.0031770438788772</v>
      </c>
      <c r="M345" s="1"/>
      <c r="N345" s="1"/>
      <c r="Q345" s="7">
        <f t="shared" si="43"/>
        <v>-0.24793651324169544</v>
      </c>
      <c r="R345" s="7">
        <f t="shared" si="44"/>
        <v>-0.25099401905260899</v>
      </c>
      <c r="S345" s="7">
        <f t="shared" si="48"/>
        <v>-0.70106085252253414</v>
      </c>
      <c r="T345" s="7">
        <f t="shared" si="45"/>
        <v>-0.32508022690453264</v>
      </c>
      <c r="V345" s="7">
        <f t="shared" si="46"/>
        <v>-0.38126790293034285</v>
      </c>
      <c r="AF345" s="7">
        <f t="shared" si="47"/>
        <v>-0.50516820592097866</v>
      </c>
    </row>
    <row r="346" spans="1:32" x14ac:dyDescent="0.35">
      <c r="A346" t="s">
        <v>44</v>
      </c>
      <c r="B346">
        <v>1987</v>
      </c>
      <c r="C346" s="7">
        <v>1987.4166666666599</v>
      </c>
      <c r="D346">
        <v>0.99014591539464947</v>
      </c>
      <c r="E346" s="7">
        <v>1987.4166666666599</v>
      </c>
      <c r="F346" s="1">
        <v>0.98320051535764363</v>
      </c>
      <c r="G346" s="7">
        <v>1987.4166666666599</v>
      </c>
      <c r="H346" s="1">
        <v>1.0040365149240291</v>
      </c>
      <c r="I346" s="7">
        <v>1987.4166666666599</v>
      </c>
      <c r="J346" s="1">
        <v>0.99087809011731398</v>
      </c>
      <c r="L346" s="1">
        <f t="shared" si="42"/>
        <v>0.99206525894840913</v>
      </c>
      <c r="M346" s="1"/>
      <c r="N346" s="1"/>
      <c r="Q346" s="7">
        <f t="shared" si="43"/>
        <v>-0.67712976143409187</v>
      </c>
      <c r="R346" s="7">
        <f t="shared" si="44"/>
        <v>-0.42109048585148923</v>
      </c>
      <c r="S346" s="7">
        <f t="shared" si="48"/>
        <v>-0.78057214166741151</v>
      </c>
      <c r="T346" s="7">
        <f t="shared" si="45"/>
        <v>-1.0531871019591659</v>
      </c>
      <c r="V346" s="7">
        <f t="shared" si="46"/>
        <v>-0.73299487272803965</v>
      </c>
      <c r="AF346" s="7">
        <f t="shared" si="47"/>
        <v>-0.8781390577487318</v>
      </c>
    </row>
    <row r="347" spans="1:32" x14ac:dyDescent="0.35">
      <c r="A347" t="s">
        <v>42</v>
      </c>
      <c r="B347">
        <v>1987</v>
      </c>
      <c r="C347" s="7">
        <v>1987.3333333333301</v>
      </c>
      <c r="D347">
        <v>0.9910459213075179</v>
      </c>
      <c r="E347" s="7">
        <v>1987.3333333333301</v>
      </c>
      <c r="F347" s="1">
        <v>0.97904887779947258</v>
      </c>
      <c r="G347" s="7">
        <v>1987.3333333333301</v>
      </c>
      <c r="H347" s="1">
        <v>1.0051502835692332</v>
      </c>
      <c r="I347" s="7">
        <v>1987.3333333333301</v>
      </c>
      <c r="J347" s="1">
        <v>0.98382648539761197</v>
      </c>
      <c r="L347" s="1">
        <f t="shared" si="42"/>
        <v>0.98976789201845883</v>
      </c>
      <c r="M347" s="1"/>
      <c r="N347" s="1"/>
      <c r="Q347" s="7">
        <f t="shared" si="43"/>
        <v>-0.64691829861998795</v>
      </c>
      <c r="R347" s="7">
        <f t="shared" si="44"/>
        <v>-0.54896066591346782</v>
      </c>
      <c r="S347" s="7">
        <f t="shared" si="48"/>
        <v>-0.74938625217237409</v>
      </c>
      <c r="T347" s="7">
        <f t="shared" si="45"/>
        <v>-1.2735527538515727</v>
      </c>
      <c r="V347" s="7">
        <f t="shared" si="46"/>
        <v>-0.80470449263935062</v>
      </c>
      <c r="AF347" s="7">
        <f t="shared" si="47"/>
        <v>-0.95525096246847008</v>
      </c>
    </row>
    <row r="348" spans="1:32" x14ac:dyDescent="0.35">
      <c r="A348" t="s">
        <v>40</v>
      </c>
      <c r="B348">
        <v>1987</v>
      </c>
      <c r="C348" s="7">
        <v>1987.24999999999</v>
      </c>
      <c r="D348">
        <v>0.98515297076077102</v>
      </c>
      <c r="E348" s="7">
        <v>1987.24999999999</v>
      </c>
      <c r="F348" s="1">
        <v>0.97857348169881642</v>
      </c>
      <c r="G348" s="7">
        <v>1987.24999999999</v>
      </c>
      <c r="H348" s="1">
        <v>1.008057258076464</v>
      </c>
      <c r="I348" s="7">
        <v>1987.24999999999</v>
      </c>
      <c r="J348" s="1">
        <v>0.97163146773293452</v>
      </c>
      <c r="L348" s="1">
        <f t="shared" si="42"/>
        <v>0.98585379456724653</v>
      </c>
      <c r="M348" s="1"/>
      <c r="N348" s="1"/>
      <c r="Q348" s="7">
        <f t="shared" si="43"/>
        <v>-0.84473328379156165</v>
      </c>
      <c r="R348" s="7">
        <f t="shared" si="44"/>
        <v>-0.56360283641605047</v>
      </c>
      <c r="S348" s="7">
        <f t="shared" si="48"/>
        <v>-0.66799000696672917</v>
      </c>
      <c r="T348" s="7">
        <f t="shared" si="45"/>
        <v>-1.6546522516733435</v>
      </c>
      <c r="V348" s="7">
        <f t="shared" si="46"/>
        <v>-0.93274459471192117</v>
      </c>
      <c r="AF348" s="7">
        <f t="shared" si="47"/>
        <v>-1.0866289786603291</v>
      </c>
    </row>
    <row r="349" spans="1:32" x14ac:dyDescent="0.35">
      <c r="A349" t="s">
        <v>38</v>
      </c>
      <c r="B349">
        <v>1987</v>
      </c>
      <c r="C349" s="7">
        <v>1987.1666666666599</v>
      </c>
      <c r="D349">
        <v>0.98757340023282791</v>
      </c>
      <c r="E349" s="7">
        <v>1987.1666666666599</v>
      </c>
      <c r="F349" s="1">
        <v>0.9844334048323965</v>
      </c>
      <c r="G349" s="7">
        <v>1987.1666666666599</v>
      </c>
      <c r="H349" s="1">
        <v>1.0104992503047592</v>
      </c>
      <c r="I349" s="7">
        <v>1987.1666666666599</v>
      </c>
      <c r="J349" s="1">
        <v>0.97850916077264938</v>
      </c>
      <c r="L349" s="1">
        <f t="shared" si="42"/>
        <v>0.99025380403565821</v>
      </c>
      <c r="M349" s="1"/>
      <c r="N349" s="1"/>
      <c r="Q349" s="7">
        <f t="shared" si="43"/>
        <v>-0.76348413426525374</v>
      </c>
      <c r="R349" s="7">
        <f t="shared" si="44"/>
        <v>-0.38311756626873616</v>
      </c>
      <c r="S349" s="7">
        <f t="shared" si="48"/>
        <v>-0.5996134189677006</v>
      </c>
      <c r="T349" s="7">
        <f t="shared" si="45"/>
        <v>-1.4397214138772223</v>
      </c>
      <c r="V349" s="7">
        <f t="shared" si="46"/>
        <v>-0.79648413334472823</v>
      </c>
      <c r="AF349" s="7">
        <f t="shared" si="47"/>
        <v>-0.93894115984879656</v>
      </c>
    </row>
    <row r="350" spans="1:32" x14ac:dyDescent="0.35">
      <c r="A350" t="s">
        <v>36</v>
      </c>
      <c r="B350">
        <v>1987</v>
      </c>
      <c r="C350" s="7">
        <v>1987.0833333333301</v>
      </c>
      <c r="D350">
        <v>1.0194079076068294</v>
      </c>
      <c r="E350" s="7">
        <v>1987.0833333333301</v>
      </c>
      <c r="F350" s="1">
        <v>0.99088230552144196</v>
      </c>
      <c r="G350" s="7">
        <v>1987.0833333333301</v>
      </c>
      <c r="H350" s="1">
        <v>1.0529110018126457</v>
      </c>
      <c r="I350" s="7">
        <v>1987.0833333333301</v>
      </c>
      <c r="J350" s="1">
        <v>0.99730110162489027</v>
      </c>
      <c r="L350" s="1">
        <f t="shared" si="42"/>
        <v>1.0151255791414517</v>
      </c>
      <c r="M350" s="1"/>
      <c r="N350" s="1"/>
      <c r="Q350" s="7">
        <f t="shared" si="43"/>
        <v>0.30513888474324991</v>
      </c>
      <c r="R350" s="7">
        <f t="shared" si="44"/>
        <v>-0.18449182383438509</v>
      </c>
      <c r="S350" s="7">
        <f t="shared" si="48"/>
        <v>0.58792961477751171</v>
      </c>
      <c r="T350" s="7">
        <f t="shared" si="45"/>
        <v>-0.85246525576366705</v>
      </c>
      <c r="V350" s="7">
        <f t="shared" si="46"/>
        <v>-3.5972145019322638E-2</v>
      </c>
      <c r="AF350" s="7">
        <f t="shared" si="47"/>
        <v>-0.10411154374990263</v>
      </c>
    </row>
    <row r="351" spans="1:32" x14ac:dyDescent="0.35">
      <c r="A351" t="s">
        <v>34</v>
      </c>
      <c r="B351">
        <v>1987</v>
      </c>
      <c r="C351" s="7">
        <v>1986.99999999999</v>
      </c>
      <c r="D351">
        <v>1.0411756753578314</v>
      </c>
      <c r="E351" s="7">
        <v>1986.99999999999</v>
      </c>
      <c r="F351" s="1">
        <v>1.0125566484150617</v>
      </c>
      <c r="G351" s="7">
        <v>1986.99999999999</v>
      </c>
      <c r="H351" s="1">
        <v>1.0774574161552903</v>
      </c>
      <c r="I351" s="7">
        <v>1986.99999999999</v>
      </c>
      <c r="J351" s="1">
        <v>1.0153042162980381</v>
      </c>
      <c r="L351" s="1">
        <f t="shared" si="42"/>
        <v>1.0366234890565553</v>
      </c>
      <c r="M351" s="1"/>
      <c r="N351" s="1"/>
      <c r="Q351" s="7">
        <f t="shared" si="43"/>
        <v>1.0358408685329794</v>
      </c>
      <c r="R351" s="7">
        <f t="shared" si="44"/>
        <v>0.48307659698729266</v>
      </c>
      <c r="S351" s="7">
        <f t="shared" si="48"/>
        <v>1.2752373141685793</v>
      </c>
      <c r="T351" s="7">
        <f t="shared" si="45"/>
        <v>-0.28986025183349312</v>
      </c>
      <c r="V351" s="7">
        <f t="shared" si="46"/>
        <v>0.62607363196383958</v>
      </c>
      <c r="AF351" s="7">
        <f t="shared" si="47"/>
        <v>0.61747313627456457</v>
      </c>
    </row>
    <row r="352" spans="1:32" x14ac:dyDescent="0.35">
      <c r="A352" t="s">
        <v>33</v>
      </c>
      <c r="B352">
        <v>1986</v>
      </c>
      <c r="C352" s="7">
        <v>1986.9166666666599</v>
      </c>
      <c r="D352">
        <v>1.0515549728140092</v>
      </c>
      <c r="E352" s="7">
        <v>1986.9166666666599</v>
      </c>
      <c r="F352" s="1">
        <v>1.0155481293393143</v>
      </c>
      <c r="G352" s="7">
        <v>1986.9166666666599</v>
      </c>
      <c r="H352" s="1">
        <v>1.0926762477097953</v>
      </c>
      <c r="I352" s="7">
        <v>1986.9166666666599</v>
      </c>
      <c r="J352" s="1">
        <v>1.018724254197994</v>
      </c>
      <c r="L352" s="1">
        <f t="shared" si="42"/>
        <v>1.0446259010152783</v>
      </c>
      <c r="M352" s="1"/>
      <c r="N352" s="1"/>
      <c r="Q352" s="7">
        <f t="shared" si="43"/>
        <v>1.3842538674370004</v>
      </c>
      <c r="R352" s="7">
        <f t="shared" si="44"/>
        <v>0.57521402446655223</v>
      </c>
      <c r="S352" s="7">
        <f t="shared" si="48"/>
        <v>1.7013696183469036</v>
      </c>
      <c r="T352" s="7">
        <f t="shared" si="45"/>
        <v>-0.18298261032094526</v>
      </c>
      <c r="V352" s="7">
        <f t="shared" si="46"/>
        <v>0.86946372498237767</v>
      </c>
      <c r="AF352" s="7">
        <f t="shared" si="47"/>
        <v>0.88607682358475337</v>
      </c>
    </row>
    <row r="353" spans="1:32" x14ac:dyDescent="0.35">
      <c r="A353" t="s">
        <v>35</v>
      </c>
      <c r="B353">
        <v>1986</v>
      </c>
      <c r="C353" s="7">
        <v>1986.8333333333301</v>
      </c>
      <c r="D353">
        <v>1.0432525573552593</v>
      </c>
      <c r="E353" s="7">
        <v>1986.8333333333301</v>
      </c>
      <c r="F353" s="1">
        <v>1.0053749607380251</v>
      </c>
      <c r="G353" s="7">
        <v>1986.8333333333301</v>
      </c>
      <c r="H353" s="1">
        <v>1.0911994428993252</v>
      </c>
      <c r="I353" s="7">
        <v>1986.8333333333301</v>
      </c>
      <c r="J353" s="1">
        <v>1.0168576487683465</v>
      </c>
      <c r="L353" s="1">
        <f t="shared" si="42"/>
        <v>1.0391711524402392</v>
      </c>
      <c r="M353" s="1"/>
      <c r="N353" s="1"/>
      <c r="Q353" s="7">
        <f t="shared" si="43"/>
        <v>1.1055577918747366</v>
      </c>
      <c r="R353" s="7">
        <f t="shared" si="44"/>
        <v>0.26188106063702687</v>
      </c>
      <c r="S353" s="7">
        <f t="shared" si="48"/>
        <v>1.6600185964597494</v>
      </c>
      <c r="T353" s="7">
        <f t="shared" si="45"/>
        <v>-0.24131482528201709</v>
      </c>
      <c r="V353" s="7">
        <f t="shared" si="46"/>
        <v>0.69653565592237388</v>
      </c>
      <c r="AF353" s="7">
        <f t="shared" si="47"/>
        <v>0.70298632684915152</v>
      </c>
    </row>
    <row r="354" spans="1:32" x14ac:dyDescent="0.35">
      <c r="A354" t="s">
        <v>37</v>
      </c>
      <c r="B354">
        <v>1986</v>
      </c>
      <c r="C354" s="7">
        <v>1986.74999999999</v>
      </c>
      <c r="D354">
        <v>1.0290083169741051</v>
      </c>
      <c r="E354" s="7">
        <v>1986.74999999999</v>
      </c>
      <c r="F354" s="1">
        <v>1.0038025189586033</v>
      </c>
      <c r="G354" s="7">
        <v>1986.74999999999</v>
      </c>
      <c r="H354" s="1">
        <v>1.072718576648966</v>
      </c>
      <c r="I354" s="7">
        <v>1986.74999999999</v>
      </c>
      <c r="J354" s="1">
        <v>1.0160049195642269</v>
      </c>
      <c r="L354" s="1">
        <f t="shared" si="42"/>
        <v>1.0303835830364754</v>
      </c>
      <c r="M354" s="1"/>
      <c r="N354" s="1"/>
      <c r="Q354" s="7">
        <f t="shared" si="43"/>
        <v>0.62740611260536927</v>
      </c>
      <c r="R354" s="7">
        <f t="shared" si="44"/>
        <v>0.2134499510677641</v>
      </c>
      <c r="S354" s="7">
        <f t="shared" si="48"/>
        <v>1.1425482446609065</v>
      </c>
      <c r="T354" s="7">
        <f t="shared" si="45"/>
        <v>-0.26796297622395632</v>
      </c>
      <c r="V354" s="7">
        <f t="shared" si="46"/>
        <v>0.42886033302752086</v>
      </c>
      <c r="AF354" s="7">
        <f t="shared" si="47"/>
        <v>0.40802856205022214</v>
      </c>
    </row>
    <row r="355" spans="1:32" x14ac:dyDescent="0.35">
      <c r="A355" t="s">
        <v>39</v>
      </c>
      <c r="B355">
        <v>1986</v>
      </c>
      <c r="C355" s="7">
        <v>1986.6666666666599</v>
      </c>
      <c r="D355">
        <v>1.035772823912658</v>
      </c>
      <c r="E355" s="7">
        <v>1986.6666666666599</v>
      </c>
      <c r="F355" s="1">
        <v>1.001373613764643</v>
      </c>
      <c r="G355" s="7">
        <v>1986.6666666666599</v>
      </c>
      <c r="H355" s="1">
        <v>1.0667763953009783</v>
      </c>
      <c r="I355" s="7">
        <v>1986.6666666666599</v>
      </c>
      <c r="J355" s="1">
        <v>1.0146780237506545</v>
      </c>
      <c r="L355" s="1">
        <f t="shared" si="42"/>
        <v>1.0296502141822335</v>
      </c>
      <c r="M355" s="1"/>
      <c r="N355" s="1"/>
      <c r="Q355" s="7">
        <f t="shared" si="43"/>
        <v>0.85447756503449934</v>
      </c>
      <c r="R355" s="7">
        <f t="shared" si="44"/>
        <v>0.13863982129285041</v>
      </c>
      <c r="S355" s="7">
        <f t="shared" si="48"/>
        <v>0.97616520660737904</v>
      </c>
      <c r="T355" s="7">
        <f t="shared" si="45"/>
        <v>-0.30942903573438468</v>
      </c>
      <c r="V355" s="7">
        <f t="shared" si="46"/>
        <v>0.41496338930008597</v>
      </c>
      <c r="AF355" s="7">
        <f t="shared" si="47"/>
        <v>0.38341278627863079</v>
      </c>
    </row>
    <row r="356" spans="1:32" x14ac:dyDescent="0.35">
      <c r="A356" t="s">
        <v>41</v>
      </c>
      <c r="B356">
        <v>1986</v>
      </c>
      <c r="C356" s="7">
        <v>1986.5833333333301</v>
      </c>
      <c r="D356">
        <v>1.0330129174294205</v>
      </c>
      <c r="E356" s="7">
        <v>1986.5833333333301</v>
      </c>
      <c r="F356" s="1">
        <v>0.99580689441810222</v>
      </c>
      <c r="G356" s="7">
        <v>1986.5833333333301</v>
      </c>
      <c r="H356" s="1">
        <v>1.0625523119583391</v>
      </c>
      <c r="I356" s="7">
        <v>1986.5833333333301</v>
      </c>
      <c r="J356" s="1">
        <v>1.0106098335410234</v>
      </c>
      <c r="L356" s="1">
        <f t="shared" si="42"/>
        <v>1.0254954893367214</v>
      </c>
      <c r="M356" s="1"/>
      <c r="N356" s="1"/>
      <c r="Q356" s="7">
        <f t="shared" si="43"/>
        <v>0.76183282693162346</v>
      </c>
      <c r="R356" s="7">
        <f t="shared" si="44"/>
        <v>-3.2814790344839244E-2</v>
      </c>
      <c r="S356" s="7">
        <f t="shared" si="48"/>
        <v>0.85788947949958372</v>
      </c>
      <c r="T356" s="7">
        <f t="shared" si="45"/>
        <v>-0.43656171307560027</v>
      </c>
      <c r="V356" s="7">
        <f t="shared" si="46"/>
        <v>0.2875864507526919</v>
      </c>
      <c r="AF356" s="7">
        <f t="shared" si="47"/>
        <v>0.24395802951028803</v>
      </c>
    </row>
    <row r="357" spans="1:32" x14ac:dyDescent="0.35">
      <c r="A357" t="s">
        <v>43</v>
      </c>
      <c r="B357">
        <v>1986</v>
      </c>
      <c r="C357" s="7">
        <v>1986.49999999999</v>
      </c>
      <c r="D357">
        <v>1.0117225966068093</v>
      </c>
      <c r="E357" s="7">
        <v>1986.49999999999</v>
      </c>
      <c r="F357" s="1">
        <v>0.986969812120847</v>
      </c>
      <c r="G357" s="7">
        <v>1986.49999999999</v>
      </c>
      <c r="H357" s="1">
        <v>1.0592486510818049</v>
      </c>
      <c r="I357" s="7">
        <v>1986.49999999999</v>
      </c>
      <c r="J357" s="1">
        <v>1.0105749875117613</v>
      </c>
      <c r="L357" s="1">
        <f t="shared" si="42"/>
        <v>1.0171290118303056</v>
      </c>
      <c r="M357" s="1"/>
      <c r="N357" s="1"/>
      <c r="Q357" s="7">
        <f t="shared" si="43"/>
        <v>4.7157815761234338E-2</v>
      </c>
      <c r="R357" s="7">
        <f t="shared" si="44"/>
        <v>-0.30499637863125839</v>
      </c>
      <c r="S357" s="7">
        <f t="shared" si="48"/>
        <v>0.76538588508766037</v>
      </c>
      <c r="T357" s="7">
        <f t="shared" si="45"/>
        <v>-0.4376506663365145</v>
      </c>
      <c r="V357" s="7">
        <f t="shared" si="46"/>
        <v>1.7474163970280454E-2</v>
      </c>
      <c r="AF357" s="7">
        <f t="shared" si="47"/>
        <v>-3.68656421042967E-2</v>
      </c>
    </row>
    <row r="358" spans="1:32" x14ac:dyDescent="0.35">
      <c r="A358" t="s">
        <v>44</v>
      </c>
      <c r="B358">
        <v>1986</v>
      </c>
      <c r="C358" s="7">
        <v>1986.4166666666599</v>
      </c>
      <c r="D358">
        <v>0.99948454492833672</v>
      </c>
      <c r="E358" s="7">
        <v>1986.4166666666599</v>
      </c>
      <c r="F358" s="1">
        <v>0.98094879776101018</v>
      </c>
      <c r="G358" s="7">
        <v>1986.4166666666599</v>
      </c>
      <c r="H358" s="1">
        <v>1.0418892440891425</v>
      </c>
      <c r="I358" s="7">
        <v>1986.4166666666599</v>
      </c>
      <c r="J358" s="1">
        <v>1.0003460242430566</v>
      </c>
      <c r="L358" s="1">
        <f t="shared" si="42"/>
        <v>1.0056671527553864</v>
      </c>
      <c r="M358" s="1"/>
      <c r="N358" s="1"/>
      <c r="Q358" s="7">
        <f t="shared" si="43"/>
        <v>-0.3636499777374595</v>
      </c>
      <c r="R358" s="7">
        <f t="shared" si="44"/>
        <v>-0.49044324858569277</v>
      </c>
      <c r="S358" s="7">
        <f t="shared" si="48"/>
        <v>0.27931676247076725</v>
      </c>
      <c r="T358" s="7">
        <f t="shared" si="45"/>
        <v>-0.75731012662839148</v>
      </c>
      <c r="V358" s="7">
        <f t="shared" si="46"/>
        <v>-0.33302164762019409</v>
      </c>
      <c r="AF358" s="7">
        <f t="shared" si="47"/>
        <v>-0.4215868520136562</v>
      </c>
    </row>
    <row r="359" spans="1:32" x14ac:dyDescent="0.35">
      <c r="A359" t="s">
        <v>42</v>
      </c>
      <c r="B359">
        <v>1986</v>
      </c>
      <c r="C359" s="7">
        <v>1986.3333333333301</v>
      </c>
      <c r="D359">
        <v>1.0039433980840797</v>
      </c>
      <c r="E359" s="7">
        <v>1986.3333333333201</v>
      </c>
      <c r="F359" s="1">
        <v>0.97652546171523247</v>
      </c>
      <c r="G359" s="7">
        <v>1986.3333333333301</v>
      </c>
      <c r="H359" s="1">
        <v>1.0200456324980829</v>
      </c>
      <c r="I359" s="7">
        <v>1986.3333333333201</v>
      </c>
      <c r="J359" s="1">
        <v>0.98770192746683483</v>
      </c>
      <c r="L359" s="1">
        <f t="shared" si="42"/>
        <v>0.99705410494105751</v>
      </c>
      <c r="M359" s="1"/>
      <c r="N359" s="1"/>
      <c r="Q359" s="7">
        <f t="shared" si="43"/>
        <v>-0.21397487629401701</v>
      </c>
      <c r="R359" s="7">
        <f t="shared" si="44"/>
        <v>-0.62668172526461796</v>
      </c>
      <c r="S359" s="7">
        <f t="shared" si="48"/>
        <v>-0.3323115682284587</v>
      </c>
      <c r="T359" s="7">
        <f t="shared" si="45"/>
        <v>-1.1524435380202518</v>
      </c>
      <c r="V359" s="7">
        <f t="shared" si="46"/>
        <v>-0.58135292695183638</v>
      </c>
      <c r="AF359" s="7">
        <f t="shared" si="47"/>
        <v>-0.71068674012750155</v>
      </c>
    </row>
    <row r="360" spans="1:32" x14ac:dyDescent="0.35">
      <c r="A360" t="s">
        <v>40</v>
      </c>
      <c r="B360">
        <v>1986</v>
      </c>
      <c r="C360" s="7">
        <v>1986.24999999999</v>
      </c>
      <c r="D360">
        <v>1.0006146053250118</v>
      </c>
      <c r="E360" s="7">
        <v>1986.24999999999</v>
      </c>
      <c r="F360" s="1">
        <v>0.97375506667939438</v>
      </c>
      <c r="G360" s="7">
        <v>1986.24999999999</v>
      </c>
      <c r="H360" s="1">
        <v>1.0094631185170246</v>
      </c>
      <c r="I360" s="7">
        <v>1986.24999999999</v>
      </c>
      <c r="J360" s="1">
        <v>0.9804644237052772</v>
      </c>
      <c r="L360" s="1">
        <f t="shared" si="42"/>
        <v>0.99107430355667703</v>
      </c>
      <c r="M360" s="1"/>
      <c r="N360" s="1"/>
      <c r="Q360" s="7">
        <f t="shared" si="43"/>
        <v>-0.32571602956701956</v>
      </c>
      <c r="R360" s="7">
        <f t="shared" si="44"/>
        <v>-0.71200972105225813</v>
      </c>
      <c r="S360" s="7">
        <f t="shared" si="48"/>
        <v>-0.62862545084139776</v>
      </c>
      <c r="T360" s="7">
        <f t="shared" si="45"/>
        <v>-1.3786186141746608</v>
      </c>
      <c r="V360" s="7">
        <f t="shared" si="46"/>
        <v>-0.76124245390883405</v>
      </c>
      <c r="AF360" s="7">
        <f t="shared" si="47"/>
        <v>-0.91140081352337854</v>
      </c>
    </row>
    <row r="361" spans="1:32" x14ac:dyDescent="0.35">
      <c r="A361" t="s">
        <v>38</v>
      </c>
      <c r="B361">
        <v>1986</v>
      </c>
      <c r="C361" s="7">
        <v>1986.1666666666599</v>
      </c>
      <c r="D361">
        <v>1.0095896762428542</v>
      </c>
      <c r="E361" s="7">
        <v>1986.1666666666599</v>
      </c>
      <c r="F361" s="1">
        <v>0.97836255843204878</v>
      </c>
      <c r="G361" s="7">
        <v>1986.1666666666599</v>
      </c>
      <c r="H361" s="1">
        <v>1.0192081799024797</v>
      </c>
      <c r="I361" s="7">
        <v>1986.1666666666599</v>
      </c>
      <c r="J361" s="1">
        <v>0.98186595735876092</v>
      </c>
      <c r="L361" s="1">
        <f t="shared" si="42"/>
        <v>0.99725659298403602</v>
      </c>
      <c r="M361" s="1"/>
      <c r="N361" s="1"/>
      <c r="Q361" s="7">
        <f t="shared" si="43"/>
        <v>-2.4440207473635157E-2</v>
      </c>
      <c r="R361" s="7">
        <f t="shared" si="44"/>
        <v>-0.57009925998938382</v>
      </c>
      <c r="S361" s="7">
        <f t="shared" si="48"/>
        <v>-0.35576051717873935</v>
      </c>
      <c r="T361" s="7">
        <f t="shared" si="45"/>
        <v>-1.3348200903668574</v>
      </c>
      <c r="V361" s="7">
        <f t="shared" si="46"/>
        <v>-0.57128001875215395</v>
      </c>
      <c r="AF361" s="7">
        <f t="shared" si="47"/>
        <v>-0.70389015988884418</v>
      </c>
    </row>
    <row r="362" spans="1:32" x14ac:dyDescent="0.35">
      <c r="A362" t="s">
        <v>36</v>
      </c>
      <c r="B362">
        <v>1986</v>
      </c>
      <c r="C362" s="7">
        <v>1986.0833333333301</v>
      </c>
      <c r="D362">
        <v>1.0371010671270158</v>
      </c>
      <c r="E362" s="7">
        <v>1986.0833333333201</v>
      </c>
      <c r="F362" s="1">
        <v>1.0038931538886942</v>
      </c>
      <c r="G362" s="7">
        <v>1986.0833333333301</v>
      </c>
      <c r="H362" s="1">
        <v>1.0547889146523604</v>
      </c>
      <c r="I362" s="7">
        <v>1986.0833333333201</v>
      </c>
      <c r="J362" s="1">
        <v>1.0057048822307204</v>
      </c>
      <c r="L362" s="1">
        <f t="shared" si="42"/>
        <v>1.0253720044746977</v>
      </c>
      <c r="M362" s="1"/>
      <c r="N362" s="1"/>
      <c r="Q362" s="7">
        <f t="shared" si="43"/>
        <v>0.89906412819469239</v>
      </c>
      <c r="R362" s="7">
        <f t="shared" si="44"/>
        <v>0.21624150130986428</v>
      </c>
      <c r="S362" s="7">
        <f t="shared" si="48"/>
        <v>0.64051179380798828</v>
      </c>
      <c r="T362" s="7">
        <f t="shared" si="45"/>
        <v>-0.58984353132265466</v>
      </c>
      <c r="V362" s="7">
        <f t="shared" si="46"/>
        <v>0.29149347299747258</v>
      </c>
      <c r="AF362" s="7">
        <f t="shared" si="47"/>
        <v>0.2398132179912546</v>
      </c>
    </row>
    <row r="363" spans="1:32" x14ac:dyDescent="0.35">
      <c r="A363" t="s">
        <v>34</v>
      </c>
      <c r="B363">
        <v>1986</v>
      </c>
      <c r="C363" s="7">
        <v>1985.99999999999</v>
      </c>
      <c r="D363">
        <v>1.0616717419263397</v>
      </c>
      <c r="E363" s="7">
        <v>1985.99999999999</v>
      </c>
      <c r="F363" s="1">
        <v>1.0295157144289175</v>
      </c>
      <c r="G363" s="7">
        <v>1985.99999999999</v>
      </c>
      <c r="H363" s="1">
        <v>1.0803063948550795</v>
      </c>
      <c r="I363" s="7">
        <v>1985.99999999999</v>
      </c>
      <c r="J363" s="1">
        <v>1.0398714064389569</v>
      </c>
      <c r="L363" s="1">
        <f t="shared" si="42"/>
        <v>1.0528413144123234</v>
      </c>
      <c r="M363" s="1"/>
      <c r="N363" s="1"/>
      <c r="Q363" s="7">
        <f t="shared" si="43"/>
        <v>1.7238542961296617</v>
      </c>
      <c r="R363" s="7">
        <f t="shared" si="44"/>
        <v>1.0054147814963621</v>
      </c>
      <c r="S363" s="7">
        <f t="shared" si="48"/>
        <v>1.3550096576331965</v>
      </c>
      <c r="T363" s="7">
        <f t="shared" si="45"/>
        <v>0.47787490714987335</v>
      </c>
      <c r="V363" s="7">
        <f t="shared" si="46"/>
        <v>1.1405384106022733</v>
      </c>
      <c r="AF363" s="7">
        <f t="shared" si="47"/>
        <v>1.1618299768348126</v>
      </c>
    </row>
    <row r="364" spans="1:32" x14ac:dyDescent="0.35">
      <c r="A364" t="s">
        <v>33</v>
      </c>
      <c r="B364">
        <v>1985</v>
      </c>
      <c r="C364" s="7">
        <v>1985.9166666666599</v>
      </c>
      <c r="D364">
        <v>1.0670196680108457</v>
      </c>
      <c r="E364" s="7">
        <v>1985.9166666666599</v>
      </c>
      <c r="F364" s="1">
        <v>1.0323961810206843</v>
      </c>
      <c r="G364" s="7">
        <v>1985.9166666666599</v>
      </c>
      <c r="H364" s="1">
        <v>1.0822551028933078</v>
      </c>
      <c r="I364" s="7">
        <v>1985.9166666666599</v>
      </c>
      <c r="J364" s="1">
        <v>1.0469889736600881</v>
      </c>
      <c r="L364" s="1">
        <f t="shared" si="42"/>
        <v>1.0571649813962316</v>
      </c>
      <c r="M364" s="1"/>
      <c r="N364" s="1"/>
      <c r="Q364" s="7">
        <f t="shared" si="43"/>
        <v>1.9033738611952837</v>
      </c>
      <c r="R364" s="7">
        <f t="shared" si="44"/>
        <v>1.0941329743999815</v>
      </c>
      <c r="S364" s="7">
        <f t="shared" si="48"/>
        <v>1.4095741255772056</v>
      </c>
      <c r="T364" s="7">
        <f t="shared" si="45"/>
        <v>0.7003019153158796</v>
      </c>
      <c r="V364" s="7">
        <f t="shared" si="46"/>
        <v>1.2768457191220877</v>
      </c>
      <c r="AF364" s="7">
        <f t="shared" si="47"/>
        <v>1.3069553341107691</v>
      </c>
    </row>
    <row r="365" spans="1:32" x14ac:dyDescent="0.35">
      <c r="A365" t="s">
        <v>35</v>
      </c>
      <c r="B365">
        <v>1985</v>
      </c>
      <c r="C365" s="7">
        <v>1985.8333333333301</v>
      </c>
      <c r="D365">
        <v>1.0617386709940342</v>
      </c>
      <c r="E365" s="7">
        <v>1985.8333333333201</v>
      </c>
      <c r="F365" s="1">
        <v>1.0172055434917227</v>
      </c>
      <c r="G365" s="7">
        <v>1985.8333333333301</v>
      </c>
      <c r="H365" s="1">
        <v>1.076901403356282</v>
      </c>
      <c r="I365" s="7">
        <v>1985.8333333333201</v>
      </c>
      <c r="J365" s="1">
        <v>1.0246653565578583</v>
      </c>
      <c r="L365" s="1">
        <f t="shared" si="42"/>
        <v>1.0451277435999744</v>
      </c>
      <c r="M365" s="1"/>
      <c r="N365" s="1"/>
      <c r="Q365" s="7">
        <f t="shared" si="43"/>
        <v>1.7261009758580084</v>
      </c>
      <c r="R365" s="7">
        <f t="shared" si="44"/>
        <v>0.62626227786926414</v>
      </c>
      <c r="S365" s="7">
        <f t="shared" si="48"/>
        <v>1.2596687723691986</v>
      </c>
      <c r="T365" s="7">
        <f t="shared" si="45"/>
        <v>2.6793696866843539E-3</v>
      </c>
      <c r="V365" s="7">
        <f t="shared" si="46"/>
        <v>0.90367784894578884</v>
      </c>
      <c r="AF365" s="7">
        <f t="shared" si="47"/>
        <v>0.90292134113695377</v>
      </c>
    </row>
    <row r="366" spans="1:32" x14ac:dyDescent="0.35">
      <c r="A366" t="s">
        <v>37</v>
      </c>
      <c r="B366">
        <v>1985</v>
      </c>
      <c r="C366" s="7">
        <v>1985.74999999999</v>
      </c>
      <c r="D366">
        <v>1.0673110511813766</v>
      </c>
      <c r="E366" s="7">
        <v>1985.74999999999</v>
      </c>
      <c r="F366" s="1">
        <v>1.0057282801825791</v>
      </c>
      <c r="G366" s="7">
        <v>1985.74999999999</v>
      </c>
      <c r="H366" s="1">
        <v>1.0855400576985605</v>
      </c>
      <c r="I366" s="7">
        <v>1985.74999999999</v>
      </c>
      <c r="J366" s="1">
        <v>1.0121118474477113</v>
      </c>
      <c r="L366" s="1">
        <f t="shared" si="42"/>
        <v>1.0426728091275568</v>
      </c>
      <c r="M366" s="1"/>
      <c r="N366" s="1"/>
      <c r="Q366" s="7">
        <f t="shared" si="43"/>
        <v>1.9131550322912529</v>
      </c>
      <c r="R366" s="7">
        <f t="shared" si="44"/>
        <v>0.27276327768065944</v>
      </c>
      <c r="S366" s="7">
        <f t="shared" si="48"/>
        <v>1.501553943822163</v>
      </c>
      <c r="T366" s="7">
        <f t="shared" si="45"/>
        <v>-0.38962313854462022</v>
      </c>
      <c r="V366" s="7">
        <f t="shared" si="46"/>
        <v>0.82446227881236378</v>
      </c>
      <c r="AF366" s="7">
        <f t="shared" si="47"/>
        <v>0.82052062810224335</v>
      </c>
    </row>
    <row r="367" spans="1:32" x14ac:dyDescent="0.35">
      <c r="A367" t="s">
        <v>39</v>
      </c>
      <c r="B367">
        <v>1985</v>
      </c>
      <c r="C367" s="7">
        <v>1985.6666666666599</v>
      </c>
      <c r="D367">
        <v>1.0334797976943053</v>
      </c>
      <c r="E367" s="7">
        <v>1985.6666666666599</v>
      </c>
      <c r="F367" s="1">
        <v>1.0024513058487334</v>
      </c>
      <c r="G367" s="7">
        <v>1985.6666666666599</v>
      </c>
      <c r="H367" s="1">
        <v>1.0733011607129124</v>
      </c>
      <c r="I367" s="7">
        <v>1985.6666666666599</v>
      </c>
      <c r="J367" s="1">
        <v>0.99663143058525838</v>
      </c>
      <c r="L367" s="1">
        <f t="shared" si="42"/>
        <v>1.0264659237103024</v>
      </c>
      <c r="M367" s="1"/>
      <c r="N367" s="1"/>
      <c r="Q367" s="7">
        <f t="shared" si="43"/>
        <v>0.77750509703510817</v>
      </c>
      <c r="R367" s="7">
        <f t="shared" si="44"/>
        <v>0.17183267084032539</v>
      </c>
      <c r="S367" s="7">
        <f t="shared" si="48"/>
        <v>1.158860790644344</v>
      </c>
      <c r="T367" s="7">
        <f t="shared" si="45"/>
        <v>-0.87339276107173314</v>
      </c>
      <c r="V367" s="7">
        <f t="shared" si="46"/>
        <v>0.30870144936201116</v>
      </c>
      <c r="AF367" s="7">
        <f t="shared" si="47"/>
        <v>0.2765309903102231</v>
      </c>
    </row>
    <row r="368" spans="1:32" x14ac:dyDescent="0.35">
      <c r="A368" t="s">
        <v>41</v>
      </c>
      <c r="B368">
        <v>1985</v>
      </c>
      <c r="C368" s="7">
        <v>1985.5833333333301</v>
      </c>
      <c r="D368">
        <v>1.0164285061422778</v>
      </c>
      <c r="E368" s="7">
        <v>1985.5833333333201</v>
      </c>
      <c r="F368" s="1">
        <v>0.99568925205456338</v>
      </c>
      <c r="G368" s="7">
        <v>1985.5833333333301</v>
      </c>
      <c r="H368" s="1">
        <v>1.0472217840044979</v>
      </c>
      <c r="I368" s="7">
        <v>1985.5833333333201</v>
      </c>
      <c r="J368" s="1">
        <v>0.98249725340098371</v>
      </c>
      <c r="L368" s="1">
        <f t="shared" si="42"/>
        <v>1.0104591989005809</v>
      </c>
      <c r="M368" s="1"/>
      <c r="N368" s="1"/>
      <c r="Q368" s="7">
        <f t="shared" si="43"/>
        <v>0.20512612341848252</v>
      </c>
      <c r="R368" s="7">
        <f t="shared" si="44"/>
        <v>-3.6438167867046428E-2</v>
      </c>
      <c r="S368" s="7">
        <f t="shared" si="48"/>
        <v>0.42862963929150072</v>
      </c>
      <c r="T368" s="7">
        <f t="shared" si="45"/>
        <v>-1.3150918200778503</v>
      </c>
      <c r="V368" s="7">
        <f t="shared" si="46"/>
        <v>-0.17944355630872838</v>
      </c>
      <c r="AF368" s="7">
        <f t="shared" si="47"/>
        <v>-0.26074018840784835</v>
      </c>
    </row>
    <row r="369" spans="1:32" x14ac:dyDescent="0.35">
      <c r="A369" t="s">
        <v>43</v>
      </c>
      <c r="B369">
        <v>1985</v>
      </c>
      <c r="C369" s="7">
        <v>1985.49999999999</v>
      </c>
      <c r="D369">
        <v>1.0018759139320692</v>
      </c>
      <c r="E369" s="7">
        <v>1985.49999999999</v>
      </c>
      <c r="F369" s="1">
        <v>0.98314712277726102</v>
      </c>
      <c r="G369" s="7">
        <v>1985.49999999999</v>
      </c>
      <c r="H369" s="1">
        <v>1.0338196299158435</v>
      </c>
      <c r="I369" s="7">
        <v>1985.49999999999</v>
      </c>
      <c r="J369" s="1">
        <v>0.98253216480380368</v>
      </c>
      <c r="L369" s="1">
        <f t="shared" si="42"/>
        <v>1.0003437078572444</v>
      </c>
      <c r="M369" s="1"/>
      <c r="N369" s="1"/>
      <c r="Q369" s="7">
        <f t="shared" si="43"/>
        <v>-0.28337633208905955</v>
      </c>
      <c r="R369" s="7">
        <f t="shared" si="44"/>
        <v>-0.42273497402557408</v>
      </c>
      <c r="S369" s="7">
        <f t="shared" si="48"/>
        <v>5.3364903474072405E-2</v>
      </c>
      <c r="T369" s="7">
        <f t="shared" si="45"/>
        <v>-1.3140008238653986</v>
      </c>
      <c r="V369" s="7">
        <f t="shared" si="46"/>
        <v>-0.49168680662648995</v>
      </c>
      <c r="AF369" s="7">
        <f t="shared" si="47"/>
        <v>-0.60027009604171733</v>
      </c>
    </row>
    <row r="370" spans="1:32" x14ac:dyDescent="0.35">
      <c r="A370" t="s">
        <v>44</v>
      </c>
      <c r="B370">
        <v>1985</v>
      </c>
      <c r="C370" s="7">
        <v>1985.4166666666599</v>
      </c>
      <c r="D370">
        <v>0.99855645652309355</v>
      </c>
      <c r="E370" s="7">
        <v>1985.4166666666599</v>
      </c>
      <c r="F370" s="1">
        <v>0.98167328615930904</v>
      </c>
      <c r="G370" s="7">
        <v>1985.4166666666599</v>
      </c>
      <c r="H370" s="1">
        <v>1.0168360067988818</v>
      </c>
      <c r="I370" s="7">
        <v>1985.4166666666599</v>
      </c>
      <c r="J370" s="1">
        <v>0.97738906945830228</v>
      </c>
      <c r="L370" s="1">
        <f t="shared" si="42"/>
        <v>0.99361370473489663</v>
      </c>
      <c r="M370" s="1"/>
      <c r="N370" s="1"/>
      <c r="Q370" s="7">
        <f t="shared" si="43"/>
        <v>-0.39480411566288881</v>
      </c>
      <c r="R370" s="7">
        <f t="shared" si="44"/>
        <v>-0.46812905071912819</v>
      </c>
      <c r="S370" s="7">
        <f t="shared" si="48"/>
        <v>-0.42218214665309994</v>
      </c>
      <c r="T370" s="7">
        <f t="shared" si="45"/>
        <v>-1.4747247446758822</v>
      </c>
      <c r="V370" s="7">
        <f t="shared" si="46"/>
        <v>-0.68996001442774979</v>
      </c>
      <c r="AF370" s="7">
        <f t="shared" si="47"/>
        <v>-0.82616494669373952</v>
      </c>
    </row>
    <row r="371" spans="1:32" x14ac:dyDescent="0.35">
      <c r="A371" t="s">
        <v>42</v>
      </c>
      <c r="B371">
        <v>1985</v>
      </c>
      <c r="C371" s="7">
        <v>1985.3333333333201</v>
      </c>
      <c r="D371">
        <v>1.0016819929147469</v>
      </c>
      <c r="E371" s="7">
        <v>1985.3333333333201</v>
      </c>
      <c r="F371" s="1">
        <v>0.97541323571233574</v>
      </c>
      <c r="G371" s="7">
        <v>1985.3333333333201</v>
      </c>
      <c r="H371" s="1">
        <v>1.0150253832625014</v>
      </c>
      <c r="I371" s="7">
        <v>1985.3333333333201</v>
      </c>
      <c r="J371" s="1">
        <v>0.97667763787649386</v>
      </c>
      <c r="L371" s="1">
        <f t="shared" si="42"/>
        <v>0.99219956244151952</v>
      </c>
      <c r="M371" s="1"/>
      <c r="N371" s="1"/>
      <c r="Q371" s="7">
        <f t="shared" si="43"/>
        <v>-0.28988588665968851</v>
      </c>
      <c r="R371" s="7">
        <f t="shared" si="44"/>
        <v>-0.66093821737581104</v>
      </c>
      <c r="S371" s="7">
        <f t="shared" si="48"/>
        <v>-0.47288020299165567</v>
      </c>
      <c r="T371" s="7">
        <f t="shared" si="45"/>
        <v>-1.4969572847194317</v>
      </c>
      <c r="V371" s="7">
        <f t="shared" si="46"/>
        <v>-0.7301653979366467</v>
      </c>
      <c r="AF371" s="7">
        <f t="shared" si="47"/>
        <v>-0.87363111518664383</v>
      </c>
    </row>
    <row r="372" spans="1:32" x14ac:dyDescent="0.35">
      <c r="A372" t="s">
        <v>40</v>
      </c>
      <c r="B372">
        <v>1985</v>
      </c>
      <c r="C372" s="7">
        <v>1985.24999999999</v>
      </c>
      <c r="D372">
        <v>0.99599001328120573</v>
      </c>
      <c r="E372" s="7">
        <v>1985.24999999999</v>
      </c>
      <c r="F372" s="1">
        <v>0.97041673440104481</v>
      </c>
      <c r="G372" s="7">
        <v>1985.24999999999</v>
      </c>
      <c r="H372" s="1">
        <v>1.0097428443161958</v>
      </c>
      <c r="I372" s="7">
        <v>1985.24999999999</v>
      </c>
      <c r="J372" s="1">
        <v>0.97806933782294014</v>
      </c>
      <c r="L372" s="1">
        <f t="shared" si="42"/>
        <v>0.98855473245534653</v>
      </c>
      <c r="M372" s="1"/>
      <c r="N372" s="1"/>
      <c r="Q372" s="7">
        <f t="shared" si="43"/>
        <v>-0.48095466585170421</v>
      </c>
      <c r="R372" s="7">
        <f t="shared" si="44"/>
        <v>-0.81483014878904914</v>
      </c>
      <c r="S372" s="7">
        <f t="shared" si="48"/>
        <v>-0.62079303618380666</v>
      </c>
      <c r="T372" s="7">
        <f t="shared" si="45"/>
        <v>-1.4534660684462908</v>
      </c>
      <c r="V372" s="7">
        <f t="shared" si="46"/>
        <v>-0.84251097981771261</v>
      </c>
      <c r="AF372" s="7">
        <f t="shared" si="47"/>
        <v>-0.99597107705746968</v>
      </c>
    </row>
    <row r="373" spans="1:32" x14ac:dyDescent="0.35">
      <c r="A373" t="s">
        <v>38</v>
      </c>
      <c r="B373">
        <v>1985</v>
      </c>
      <c r="C373" s="7">
        <v>1985.1666666666599</v>
      </c>
      <c r="D373">
        <v>1.0021029968094375</v>
      </c>
      <c r="E373" s="7">
        <v>1985.1666666666599</v>
      </c>
      <c r="F373" s="1">
        <v>0.97594399640461915</v>
      </c>
      <c r="G373" s="7">
        <v>1985.1666666666599</v>
      </c>
      <c r="H373" s="1">
        <v>1.0090373268773181</v>
      </c>
      <c r="I373" s="7">
        <v>1985.1666666666599</v>
      </c>
      <c r="J373" s="1">
        <v>0.98579048483937792</v>
      </c>
      <c r="L373" s="1">
        <f t="shared" si="42"/>
        <v>0.99321870123268829</v>
      </c>
      <c r="M373" s="1"/>
      <c r="N373" s="1"/>
      <c r="Q373" s="7">
        <f t="shared" si="43"/>
        <v>-0.27575359783005204</v>
      </c>
      <c r="R373" s="7">
        <f t="shared" si="44"/>
        <v>-0.64459082087475439</v>
      </c>
      <c r="S373" s="7">
        <f t="shared" si="48"/>
        <v>-0.640547757220715</v>
      </c>
      <c r="T373" s="7">
        <f t="shared" si="45"/>
        <v>-1.2121769345161737</v>
      </c>
      <c r="V373" s="7">
        <f t="shared" si="46"/>
        <v>-0.69326727761042384</v>
      </c>
      <c r="AF373" s="7">
        <f t="shared" si="47"/>
        <v>-0.83942337399551614</v>
      </c>
    </row>
    <row r="374" spans="1:32" x14ac:dyDescent="0.35">
      <c r="A374" t="s">
        <v>36</v>
      </c>
      <c r="B374">
        <v>1985</v>
      </c>
      <c r="C374" s="7">
        <v>1985.0833333333201</v>
      </c>
      <c r="D374">
        <v>1.025818966739904</v>
      </c>
      <c r="E374" s="7">
        <v>1985.0833333333201</v>
      </c>
      <c r="F374" s="1">
        <v>0.99975477296536353</v>
      </c>
      <c r="G374" s="7">
        <v>1985.0833333333201</v>
      </c>
      <c r="H374" s="1">
        <v>1.0325895863117711</v>
      </c>
      <c r="I374" s="7">
        <v>1985.0833333333201</v>
      </c>
      <c r="J374" s="1">
        <v>1.024117576011774</v>
      </c>
      <c r="L374" s="1">
        <f t="shared" si="42"/>
        <v>1.0205702255072031</v>
      </c>
      <c r="M374" s="1"/>
      <c r="N374" s="1"/>
      <c r="Q374" s="7">
        <f t="shared" si="43"/>
        <v>0.52034577597421894</v>
      </c>
      <c r="R374" s="7">
        <f t="shared" si="44"/>
        <v>8.8779624781204575E-2</v>
      </c>
      <c r="S374" s="7">
        <f t="shared" si="48"/>
        <v>1.8923276771920593E-2</v>
      </c>
      <c r="T374" s="7">
        <f t="shared" si="45"/>
        <v>-1.4439005765441602E-2</v>
      </c>
      <c r="V374" s="7">
        <f t="shared" si="46"/>
        <v>0.15340241794047565</v>
      </c>
      <c r="AF374" s="7">
        <f t="shared" si="47"/>
        <v>7.8639868884721909E-2</v>
      </c>
    </row>
    <row r="375" spans="1:32" x14ac:dyDescent="0.35">
      <c r="A375" t="s">
        <v>34</v>
      </c>
      <c r="B375">
        <v>1985</v>
      </c>
      <c r="C375" s="7">
        <v>1984.99999999999</v>
      </c>
      <c r="D375">
        <v>1.0620564936013801</v>
      </c>
      <c r="E375" s="7">
        <v>1984.99999999999</v>
      </c>
      <c r="F375" s="1">
        <v>1.0186213953163168</v>
      </c>
      <c r="G375" s="7">
        <v>1984.99999999999</v>
      </c>
      <c r="H375" s="1">
        <v>1.0688450382814509</v>
      </c>
      <c r="I375" s="7">
        <v>1984.99999999999</v>
      </c>
      <c r="J375" s="1">
        <v>1.046341352228028</v>
      </c>
      <c r="L375" s="1">
        <f t="shared" si="42"/>
        <v>1.048966069856794</v>
      </c>
      <c r="M375" s="1"/>
      <c r="N375" s="1"/>
      <c r="Q375" s="7">
        <f t="shared" si="43"/>
        <v>1.7367696678588314</v>
      </c>
      <c r="R375" s="7">
        <f t="shared" si="44"/>
        <v>0.66987042651307072</v>
      </c>
      <c r="S375" s="7">
        <f t="shared" si="48"/>
        <v>1.0340878925004471</v>
      </c>
      <c r="T375" s="7">
        <f t="shared" si="45"/>
        <v>0.68006346963887221</v>
      </c>
      <c r="V375" s="7">
        <f t="shared" si="46"/>
        <v>1.0301978641278053</v>
      </c>
      <c r="AF375" s="7">
        <f t="shared" si="47"/>
        <v>1.031756071340693</v>
      </c>
    </row>
    <row r="376" spans="1:32" x14ac:dyDescent="0.35">
      <c r="A376" t="s">
        <v>33</v>
      </c>
      <c r="B376">
        <v>1984</v>
      </c>
      <c r="C376" s="7">
        <v>1984.9166666666599</v>
      </c>
      <c r="D376">
        <v>1.0715342085021453</v>
      </c>
      <c r="E376" s="7">
        <v>1984.9166666666599</v>
      </c>
      <c r="F376" s="1">
        <v>1.031280391752361</v>
      </c>
      <c r="G376" s="7">
        <v>1984.9166666666599</v>
      </c>
      <c r="H376" s="1">
        <v>1.0748577691087786</v>
      </c>
      <c r="I376" s="7">
        <v>1984.9166666666599</v>
      </c>
      <c r="J376" s="1">
        <v>1.0475005528462167</v>
      </c>
      <c r="L376" s="1">
        <f t="shared" si="42"/>
        <v>1.0562932305523753</v>
      </c>
      <c r="M376" s="1"/>
      <c r="N376" s="1"/>
      <c r="Q376" s="7">
        <f t="shared" si="43"/>
        <v>2.0549182790991294</v>
      </c>
      <c r="R376" s="7">
        <f t="shared" si="44"/>
        <v>1.0597667339339945</v>
      </c>
      <c r="S376" s="7">
        <f t="shared" si="48"/>
        <v>1.2024463392495821</v>
      </c>
      <c r="T376" s="7">
        <f t="shared" si="45"/>
        <v>0.71628898284546261</v>
      </c>
      <c r="V376" s="7">
        <f t="shared" si="46"/>
        <v>1.2583550837820421</v>
      </c>
      <c r="AF376" s="7">
        <f t="shared" si="47"/>
        <v>1.2776947196506099</v>
      </c>
    </row>
    <row r="377" spans="1:32" x14ac:dyDescent="0.35">
      <c r="A377" t="s">
        <v>35</v>
      </c>
      <c r="B377">
        <v>1984</v>
      </c>
      <c r="C377" s="7">
        <v>1984.8333333333201</v>
      </c>
      <c r="D377">
        <v>1.0636426125540173</v>
      </c>
      <c r="E377" s="7">
        <v>1984.8333333333201</v>
      </c>
      <c r="F377" s="1">
        <v>1.0251890938098058</v>
      </c>
      <c r="G377" s="7">
        <v>1984.8333333333201</v>
      </c>
      <c r="H377" s="1">
        <v>1.0665737399444493</v>
      </c>
      <c r="I377" s="7">
        <v>1984.8333333333201</v>
      </c>
      <c r="J377" s="1">
        <v>1.0350517639423684</v>
      </c>
      <c r="L377" s="1">
        <f t="shared" si="42"/>
        <v>1.0476143025626603</v>
      </c>
      <c r="M377" s="1"/>
      <c r="N377" s="1"/>
      <c r="Q377" s="7">
        <f t="shared" si="43"/>
        <v>1.7900126222341193</v>
      </c>
      <c r="R377" s="7">
        <f t="shared" si="44"/>
        <v>0.87215513397804434</v>
      </c>
      <c r="S377" s="7">
        <f t="shared" si="48"/>
        <v>0.97049078976909997</v>
      </c>
      <c r="T377" s="7">
        <f t="shared" si="45"/>
        <v>0.32725902567800957</v>
      </c>
      <c r="V377" s="7">
        <f t="shared" si="46"/>
        <v>0.9899793929148184</v>
      </c>
      <c r="AF377" s="7">
        <f t="shared" si="47"/>
        <v>0.98638354097579017</v>
      </c>
    </row>
    <row r="378" spans="1:32" x14ac:dyDescent="0.35">
      <c r="A378" t="s">
        <v>37</v>
      </c>
      <c r="B378">
        <v>1984</v>
      </c>
      <c r="C378" s="7">
        <v>1984.74999999999</v>
      </c>
      <c r="D378">
        <v>1.0629625232387752</v>
      </c>
      <c r="E378" s="7">
        <v>1984.74999999999</v>
      </c>
      <c r="F378" s="1">
        <v>1.0271125708180002</v>
      </c>
      <c r="G378" s="7">
        <v>1984.74999999999</v>
      </c>
      <c r="H378" s="1">
        <v>1.0537019862561112</v>
      </c>
      <c r="I378" s="7">
        <v>1984.74999999999</v>
      </c>
      <c r="J378" s="1">
        <v>1.0119731072619846</v>
      </c>
      <c r="L378" s="1">
        <f t="shared" si="42"/>
        <v>1.0389375468937179</v>
      </c>
      <c r="M378" s="1"/>
      <c r="N378" s="1"/>
      <c r="Q378" s="7">
        <f t="shared" si="43"/>
        <v>1.767183335488411</v>
      </c>
      <c r="R378" s="7">
        <f t="shared" si="44"/>
        <v>0.9313981068861239</v>
      </c>
      <c r="S378" s="7">
        <f t="shared" si="48"/>
        <v>0.61007744013821619</v>
      </c>
      <c r="T378" s="7">
        <f t="shared" si="45"/>
        <v>-0.39395882846012448</v>
      </c>
      <c r="V378" s="7">
        <f t="shared" si="46"/>
        <v>0.72867501351315667</v>
      </c>
      <c r="AF378" s="7">
        <f t="shared" si="47"/>
        <v>0.69514527698876105</v>
      </c>
    </row>
    <row r="379" spans="1:32" x14ac:dyDescent="0.35">
      <c r="A379" t="s">
        <v>39</v>
      </c>
      <c r="B379">
        <v>1984</v>
      </c>
      <c r="C379" s="7">
        <v>1984.6666666666599</v>
      </c>
      <c r="D379">
        <v>1.0612122949264344</v>
      </c>
      <c r="E379" s="7">
        <v>1984.6666666666599</v>
      </c>
      <c r="F379" s="1">
        <v>1.0288235414279565</v>
      </c>
      <c r="G379" s="7">
        <v>1984.6666666666599</v>
      </c>
      <c r="H379" s="1">
        <v>1.0436015218388115</v>
      </c>
      <c r="I379" s="7">
        <v>1984.6666666666599</v>
      </c>
      <c r="J379" s="1">
        <v>0.99444750102135648</v>
      </c>
      <c r="L379" s="1">
        <f t="shared" si="42"/>
        <v>1.0320212148036396</v>
      </c>
      <c r="M379" s="1"/>
      <c r="N379" s="1"/>
      <c r="Q379" s="7">
        <f t="shared" si="43"/>
        <v>1.7084315463963278</v>
      </c>
      <c r="R379" s="7">
        <f t="shared" si="44"/>
        <v>0.98409589586947754</v>
      </c>
      <c r="S379" s="7">
        <f t="shared" si="48"/>
        <v>0.32726110433738897</v>
      </c>
      <c r="T379" s="7">
        <f t="shared" si="45"/>
        <v>-0.94164149042715273</v>
      </c>
      <c r="V379" s="7">
        <f t="shared" si="46"/>
        <v>0.51953676404401039</v>
      </c>
      <c r="AF379" s="7">
        <f t="shared" si="47"/>
        <v>0.46299623097123238</v>
      </c>
    </row>
    <row r="380" spans="1:32" x14ac:dyDescent="0.35">
      <c r="A380" t="s">
        <v>41</v>
      </c>
      <c r="B380">
        <v>1984</v>
      </c>
      <c r="C380" s="7">
        <v>1984.5833333333201</v>
      </c>
      <c r="D380">
        <v>1.0582154133073387</v>
      </c>
      <c r="E380" s="7">
        <v>1984.5833333333201</v>
      </c>
      <c r="F380" s="1">
        <v>1.0214273780606613</v>
      </c>
      <c r="G380" s="7">
        <v>1984.5833333333201</v>
      </c>
      <c r="H380" s="1">
        <v>1.02972775235465</v>
      </c>
      <c r="I380" s="7">
        <v>1984.5833333333201</v>
      </c>
      <c r="J380" s="1">
        <v>0.98455841122500276</v>
      </c>
      <c r="L380" s="1">
        <f t="shared" si="42"/>
        <v>1.0234822387369134</v>
      </c>
      <c r="M380" s="1"/>
      <c r="N380" s="1"/>
      <c r="Q380" s="7">
        <f t="shared" si="43"/>
        <v>1.6078320099943728</v>
      </c>
      <c r="R380" s="7">
        <f t="shared" si="44"/>
        <v>0.75629452152202981</v>
      </c>
      <c r="S380" s="7">
        <f t="shared" si="48"/>
        <v>-6.120901813890705E-2</v>
      </c>
      <c r="T380" s="7">
        <f t="shared" si="45"/>
        <v>-1.2506797599018102</v>
      </c>
      <c r="V380" s="7">
        <f t="shared" si="46"/>
        <v>0.26305943836892132</v>
      </c>
      <c r="AF380" s="7">
        <f t="shared" si="47"/>
        <v>0.17638258633425474</v>
      </c>
    </row>
    <row r="381" spans="1:32" x14ac:dyDescent="0.35">
      <c r="A381" t="s">
        <v>43</v>
      </c>
      <c r="B381">
        <v>1984</v>
      </c>
      <c r="C381" s="7">
        <v>1984.49999999999</v>
      </c>
      <c r="D381">
        <v>1.0570953130779004</v>
      </c>
      <c r="E381" s="7">
        <v>1984.49999999999</v>
      </c>
      <c r="F381" s="1">
        <v>1.0056253283813041</v>
      </c>
      <c r="G381" s="7">
        <v>1984.49999999999</v>
      </c>
      <c r="H381" s="1">
        <v>1.0327582843876055</v>
      </c>
      <c r="I381" s="7">
        <v>1984.49999999999</v>
      </c>
      <c r="J381" s="1">
        <v>0.9874336157149215</v>
      </c>
      <c r="L381" s="1">
        <f t="shared" si="42"/>
        <v>1.0207281353904327</v>
      </c>
      <c r="M381" s="1"/>
      <c r="N381" s="1"/>
      <c r="Q381" s="7">
        <f t="shared" si="43"/>
        <v>1.5702324054296726</v>
      </c>
      <c r="R381" s="7">
        <f t="shared" si="44"/>
        <v>0.26959236856774238</v>
      </c>
      <c r="S381" s="7">
        <f t="shared" si="48"/>
        <v>2.3646878548332265E-2</v>
      </c>
      <c r="T381" s="7">
        <f t="shared" si="45"/>
        <v>-1.1608283945842586</v>
      </c>
      <c r="V381" s="7">
        <f t="shared" si="46"/>
        <v>0.17566081449037219</v>
      </c>
      <c r="AF381" s="7">
        <f t="shared" si="47"/>
        <v>8.3940167984165384E-2</v>
      </c>
    </row>
    <row r="382" spans="1:32" x14ac:dyDescent="0.35">
      <c r="A382" t="s">
        <v>44</v>
      </c>
      <c r="B382">
        <v>1984</v>
      </c>
      <c r="C382" s="7">
        <v>1984.4166666666599</v>
      </c>
      <c r="D382">
        <v>1.0424709824939782</v>
      </c>
      <c r="E382" s="7">
        <v>1984.4166666666499</v>
      </c>
      <c r="F382" s="1">
        <v>0.99549722483915393</v>
      </c>
      <c r="G382" s="7">
        <v>1984.4166666666599</v>
      </c>
      <c r="H382" s="1">
        <v>1.0303691847387901</v>
      </c>
      <c r="I382" s="7">
        <v>1984.4166666666499</v>
      </c>
      <c r="J382" s="1">
        <v>0.99256623327097182</v>
      </c>
      <c r="L382" s="1">
        <f t="shared" si="42"/>
        <v>1.0152259063357234</v>
      </c>
      <c r="M382" s="1"/>
      <c r="N382" s="1"/>
      <c r="Q382" s="7">
        <f t="shared" si="43"/>
        <v>1.0793218310655699</v>
      </c>
      <c r="R382" s="7">
        <f t="shared" si="44"/>
        <v>-4.2352594227044987E-2</v>
      </c>
      <c r="S382" s="7">
        <f t="shared" si="48"/>
        <v>-4.3248699776139446E-2</v>
      </c>
      <c r="T382" s="7">
        <f t="shared" si="45"/>
        <v>-1.0004319091582805</v>
      </c>
      <c r="V382" s="7">
        <f t="shared" si="46"/>
        <v>-1.6778430239737796E-3</v>
      </c>
      <c r="AF382" s="7">
        <f t="shared" si="47"/>
        <v>-0.10074402724889568</v>
      </c>
    </row>
    <row r="383" spans="1:32" x14ac:dyDescent="0.35">
      <c r="A383" t="s">
        <v>42</v>
      </c>
      <c r="B383">
        <v>1984</v>
      </c>
      <c r="C383" s="7">
        <v>1984.3333333333201</v>
      </c>
      <c r="D383">
        <v>1.0247324551560519</v>
      </c>
      <c r="E383" s="7">
        <v>1984.3333333333201</v>
      </c>
      <c r="F383" s="1">
        <v>0.98330147604238927</v>
      </c>
      <c r="G383" s="7">
        <v>1984.3333333333201</v>
      </c>
      <c r="H383" s="1">
        <v>1.0206575881920845</v>
      </c>
      <c r="I383" s="7">
        <v>1984.3333333333201</v>
      </c>
      <c r="J383" s="1">
        <v>0.98547639543660159</v>
      </c>
      <c r="L383" s="1">
        <f t="shared" si="42"/>
        <v>1.0035419787067819</v>
      </c>
      <c r="M383" s="1"/>
      <c r="N383" s="1"/>
      <c r="Q383" s="7">
        <f t="shared" si="43"/>
        <v>0.48387367746541798</v>
      </c>
      <c r="R383" s="7">
        <f t="shared" si="44"/>
        <v>-0.41798090300454827</v>
      </c>
      <c r="S383" s="7">
        <f t="shared" si="48"/>
        <v>-0.31517660691385191</v>
      </c>
      <c r="T383" s="7">
        <f t="shared" si="45"/>
        <v>-1.2219923621736428</v>
      </c>
      <c r="V383" s="7">
        <f t="shared" si="46"/>
        <v>-0.36781904865665627</v>
      </c>
      <c r="AF383" s="7">
        <f t="shared" si="47"/>
        <v>-0.49291904392972985</v>
      </c>
    </row>
    <row r="384" spans="1:32" x14ac:dyDescent="0.35">
      <c r="A384" t="s">
        <v>40</v>
      </c>
      <c r="B384">
        <v>1984</v>
      </c>
      <c r="C384" s="7">
        <v>1984.24999999999</v>
      </c>
      <c r="D384">
        <v>1.0136085469388916</v>
      </c>
      <c r="E384" s="7">
        <v>1984.24999999999</v>
      </c>
      <c r="F384" s="1">
        <v>0.97687891365792301</v>
      </c>
      <c r="G384" s="7">
        <v>1984.24999999999</v>
      </c>
      <c r="H384" s="1">
        <v>0.99755938899976071</v>
      </c>
      <c r="I384" s="7">
        <v>1984.24999999999</v>
      </c>
      <c r="J384" s="1">
        <v>0.97827063268985448</v>
      </c>
      <c r="L384" s="1">
        <f t="shared" si="42"/>
        <v>0.99157937057160739</v>
      </c>
      <c r="M384" s="1"/>
      <c r="N384" s="1"/>
      <c r="Q384" s="7">
        <f t="shared" si="43"/>
        <v>0.11046553131318777</v>
      </c>
      <c r="R384" s="7">
        <f t="shared" si="44"/>
        <v>-0.61579542728657233</v>
      </c>
      <c r="S384" s="7">
        <f t="shared" si="48"/>
        <v>-0.96193380433359854</v>
      </c>
      <c r="T384" s="7">
        <f t="shared" si="45"/>
        <v>-1.4471755180916692</v>
      </c>
      <c r="V384" s="7">
        <f t="shared" si="46"/>
        <v>-0.72860980459966307</v>
      </c>
      <c r="AF384" s="7">
        <f t="shared" si="47"/>
        <v>-0.89444806687039391</v>
      </c>
    </row>
    <row r="385" spans="1:32" x14ac:dyDescent="0.35">
      <c r="A385" t="s">
        <v>38</v>
      </c>
      <c r="B385">
        <v>1984</v>
      </c>
      <c r="C385" s="7">
        <v>1984.1666666666599</v>
      </c>
      <c r="D385">
        <v>1.0158614475506242</v>
      </c>
      <c r="E385" s="7">
        <v>1984.1666666666499</v>
      </c>
      <c r="F385" s="1">
        <v>0.9847144515788826</v>
      </c>
      <c r="G385" s="7">
        <v>1984.1666666666599</v>
      </c>
      <c r="H385" s="1">
        <v>0.9933064564962264</v>
      </c>
      <c r="I385" s="7">
        <v>1984.1666666666499</v>
      </c>
      <c r="J385" s="1">
        <v>0.98205822603240378</v>
      </c>
      <c r="L385" s="1">
        <f t="shared" si="42"/>
        <v>0.99398514541453431</v>
      </c>
      <c r="M385" s="1"/>
      <c r="N385" s="1"/>
      <c r="Q385" s="7">
        <f t="shared" si="43"/>
        <v>0.1860910600814456</v>
      </c>
      <c r="R385" s="7">
        <f t="shared" si="44"/>
        <v>-0.37446134385638208</v>
      </c>
      <c r="S385" s="7">
        <f t="shared" si="48"/>
        <v>-1.0810173174637177</v>
      </c>
      <c r="T385" s="7">
        <f t="shared" si="45"/>
        <v>-1.328811612397663</v>
      </c>
      <c r="V385" s="7">
        <f t="shared" si="46"/>
        <v>-0.6495498034090792</v>
      </c>
      <c r="AF385" s="7">
        <f t="shared" si="47"/>
        <v>-0.81369741356968817</v>
      </c>
    </row>
    <row r="386" spans="1:32" x14ac:dyDescent="0.35">
      <c r="A386" t="s">
        <v>36</v>
      </c>
      <c r="B386">
        <v>1984</v>
      </c>
      <c r="C386" s="7">
        <v>1984.0833333333201</v>
      </c>
      <c r="D386">
        <v>1.0214710603588013</v>
      </c>
      <c r="E386" s="7">
        <v>1984.0833333333201</v>
      </c>
      <c r="F386" s="1">
        <v>0.99228550122807346</v>
      </c>
      <c r="G386" s="7">
        <v>1984.0833333333201</v>
      </c>
      <c r="H386" s="1">
        <v>1.0233035657031961</v>
      </c>
      <c r="I386" s="7">
        <v>1984.0833333333201</v>
      </c>
      <c r="J386" s="1">
        <v>1.0089658167563276</v>
      </c>
      <c r="L386" s="1">
        <f t="shared" si="42"/>
        <v>1.0115064860115996</v>
      </c>
      <c r="M386" s="1"/>
      <c r="N386" s="1"/>
      <c r="Q386" s="7">
        <f t="shared" si="43"/>
        <v>0.37439494379219412</v>
      </c>
      <c r="R386" s="7">
        <f t="shared" si="44"/>
        <v>-0.14127348284119656</v>
      </c>
      <c r="S386" s="7">
        <f t="shared" si="48"/>
        <v>-0.24108836370176015</v>
      </c>
      <c r="T386" s="7">
        <f t="shared" si="45"/>
        <v>-0.48793793804597346</v>
      </c>
      <c r="V386" s="7">
        <f t="shared" si="46"/>
        <v>-0.12397621019918401</v>
      </c>
      <c r="AF386" s="7">
        <f t="shared" si="47"/>
        <v>-0.22558763925853365</v>
      </c>
    </row>
    <row r="387" spans="1:32" x14ac:dyDescent="0.35">
      <c r="A387" t="s">
        <v>34</v>
      </c>
      <c r="B387">
        <v>1984</v>
      </c>
      <c r="C387" s="7">
        <v>1983.99999999999</v>
      </c>
      <c r="D387">
        <v>1.0549582079533599</v>
      </c>
      <c r="E387" s="7">
        <v>1983.99999999999</v>
      </c>
      <c r="F387" s="1">
        <v>1.0244156077629147</v>
      </c>
      <c r="G387" s="7">
        <v>1983.99999999999</v>
      </c>
      <c r="H387" s="1">
        <v>1.0596491463359814</v>
      </c>
      <c r="I387" s="7">
        <v>1983.99999999999</v>
      </c>
      <c r="J387" s="1">
        <v>1.0472090609748075</v>
      </c>
      <c r="L387" s="1">
        <f t="shared" si="42"/>
        <v>1.0465580057567658</v>
      </c>
      <c r="M387" s="1"/>
      <c r="N387" s="1"/>
      <c r="Q387" s="7">
        <f t="shared" si="43"/>
        <v>1.4984939078523529</v>
      </c>
      <c r="R387" s="7">
        <f t="shared" si="44"/>
        <v>0.84833181156476423</v>
      </c>
      <c r="S387" s="7">
        <f t="shared" si="48"/>
        <v>0.77659988432692539</v>
      </c>
      <c r="T387" s="7">
        <f t="shared" si="45"/>
        <v>0.70717973767110465</v>
      </c>
      <c r="V387" s="7">
        <f t="shared" si="46"/>
        <v>0.95765133535378677</v>
      </c>
      <c r="AF387" s="7">
        <f t="shared" si="47"/>
        <v>0.95092857834443534</v>
      </c>
    </row>
    <row r="388" spans="1:32" x14ac:dyDescent="0.35">
      <c r="A388" t="s">
        <v>33</v>
      </c>
      <c r="B388">
        <v>1983</v>
      </c>
      <c r="C388" s="7">
        <v>1983.9166666666599</v>
      </c>
      <c r="D388">
        <v>1.0725352064779337</v>
      </c>
      <c r="E388" s="7">
        <v>1983.9166666666499</v>
      </c>
      <c r="F388" s="1">
        <v>1.0398796497255651</v>
      </c>
      <c r="G388" s="7">
        <v>1983.9166666666599</v>
      </c>
      <c r="H388" s="1">
        <v>1.057684883771399</v>
      </c>
      <c r="I388" s="7">
        <v>1983.9166666666499</v>
      </c>
      <c r="J388" s="1">
        <v>1.056074043671962</v>
      </c>
      <c r="L388" s="1">
        <f t="shared" si="42"/>
        <v>1.0565434459117149</v>
      </c>
      <c r="M388" s="1"/>
      <c r="N388" s="1"/>
      <c r="Q388" s="7">
        <f t="shared" si="43"/>
        <v>2.0885198507000746</v>
      </c>
      <c r="R388" s="7">
        <f t="shared" si="44"/>
        <v>1.3246233477462632</v>
      </c>
      <c r="S388" s="7">
        <f t="shared" si="48"/>
        <v>0.72159988451360613</v>
      </c>
      <c r="T388" s="7">
        <f t="shared" si="45"/>
        <v>0.98421422396544089</v>
      </c>
      <c r="V388" s="7">
        <f t="shared" si="46"/>
        <v>1.2797393267313462</v>
      </c>
      <c r="AF388" s="7">
        <f t="shared" si="47"/>
        <v>1.2860932835444603</v>
      </c>
    </row>
    <row r="389" spans="1:32" x14ac:dyDescent="0.35">
      <c r="A389" t="s">
        <v>35</v>
      </c>
      <c r="B389">
        <v>1983</v>
      </c>
      <c r="C389" s="7">
        <v>1983.8333333333201</v>
      </c>
      <c r="D389">
        <v>1.0432412598074692</v>
      </c>
      <c r="E389" s="7">
        <v>1983.8333333333201</v>
      </c>
      <c r="F389" s="1">
        <v>1.0265818148644426</v>
      </c>
      <c r="G389" s="7">
        <v>1983.8333333333201</v>
      </c>
      <c r="H389" s="1">
        <v>1.0310447937449467</v>
      </c>
      <c r="I389" s="7">
        <v>1983.8333333333201</v>
      </c>
      <c r="J389" s="1">
        <v>1.0522019243616316</v>
      </c>
      <c r="L389" s="1">
        <f t="shared" ref="L389:L452" si="49">AVERAGE(D389,F389,H389,J389)</f>
        <v>1.0382674481946226</v>
      </c>
      <c r="M389" s="1"/>
      <c r="N389" s="1"/>
      <c r="Q389" s="7">
        <f t="shared" ref="Q389:Q411" si="50">STANDARDIZE(D389, AVERAGE($D$5:$D$411), _xlfn.STDEV.P($L$5:$L$1820))</f>
        <v>1.1051785549829862</v>
      </c>
      <c r="R389" s="7">
        <f t="shared" ref="R389:R452" si="51">STANDARDIZE(F389, AVERAGE($F$4:$F$747), _xlfn.STDEV.P($F$4:$F$747))</f>
        <v>0.91505085633752714</v>
      </c>
      <c r="S389" s="7">
        <f t="shared" si="48"/>
        <v>-2.4331424722134651E-2</v>
      </c>
      <c r="T389" s="7">
        <f t="shared" ref="T389:T452" si="52">STANDARDIZE(J389,AVERAGE($J$4:$J$795),_xlfn.STDEV.P($J$4:$J$795))</f>
        <v>0.86320884576520207</v>
      </c>
      <c r="V389" s="7">
        <f t="shared" ref="V389:V452" si="53">AVERAGE(Q389,R389,S389,T389)</f>
        <v>0.71477670809089511</v>
      </c>
      <c r="AF389" s="7">
        <f t="shared" ref="AF389:AF452" si="54">STANDARDIZE(L389,L$1,L$2)</f>
        <v>0.67265318555843201</v>
      </c>
    </row>
    <row r="390" spans="1:32" x14ac:dyDescent="0.35">
      <c r="A390" t="s">
        <v>37</v>
      </c>
      <c r="B390">
        <v>1983</v>
      </c>
      <c r="C390" s="7">
        <v>1983.74999999999</v>
      </c>
      <c r="D390">
        <v>1.0350959402396616</v>
      </c>
      <c r="E390" s="7">
        <v>1983.74999999999</v>
      </c>
      <c r="F390" s="1">
        <v>1.0120472932183715</v>
      </c>
      <c r="G390" s="7">
        <v>1983.74999999999</v>
      </c>
      <c r="H390" s="1">
        <v>1.0236842402996447</v>
      </c>
      <c r="I390" s="7">
        <v>1983.74999999999</v>
      </c>
      <c r="J390" s="1">
        <v>1.045322663811229</v>
      </c>
      <c r="L390" s="1">
        <f t="shared" si="49"/>
        <v>1.0290375343922267</v>
      </c>
      <c r="M390" s="1"/>
      <c r="N390" s="1"/>
      <c r="Q390" s="7">
        <f t="shared" si="50"/>
        <v>0.83175588551682722</v>
      </c>
      <c r="R390" s="7">
        <f t="shared" si="51"/>
        <v>0.46738848842683173</v>
      </c>
      <c r="S390" s="7">
        <f t="shared" si="48"/>
        <v>-0.23042934941766119</v>
      </c>
      <c r="T390" s="7">
        <f t="shared" si="52"/>
        <v>0.64822902259223458</v>
      </c>
      <c r="V390" s="7">
        <f t="shared" si="53"/>
        <v>0.42923601177955806</v>
      </c>
      <c r="AF390" s="7">
        <f t="shared" si="54"/>
        <v>0.36284798011954911</v>
      </c>
    </row>
    <row r="391" spans="1:32" x14ac:dyDescent="0.35">
      <c r="A391" t="s">
        <v>39</v>
      </c>
      <c r="B391">
        <v>1983</v>
      </c>
      <c r="C391" s="7">
        <v>1983.6666666666599</v>
      </c>
      <c r="D391">
        <v>1.0287442877698187</v>
      </c>
      <c r="E391" s="7">
        <v>1983.6666666666499</v>
      </c>
      <c r="F391" s="1">
        <v>1.0042410733124232</v>
      </c>
      <c r="G391" s="7">
        <v>1983.6666666666599</v>
      </c>
      <c r="H391" s="1">
        <v>1.0055920186229306</v>
      </c>
      <c r="I391" s="7">
        <v>1983.6666666666499</v>
      </c>
      <c r="J391" s="1">
        <v>1.0377070789374931</v>
      </c>
      <c r="L391" s="1">
        <f t="shared" si="49"/>
        <v>1.0190711146606664</v>
      </c>
      <c r="M391" s="1"/>
      <c r="N391" s="1"/>
      <c r="Q391" s="7">
        <f t="shared" si="50"/>
        <v>0.61854316140351295</v>
      </c>
      <c r="R391" s="7">
        <f t="shared" si="51"/>
        <v>0.22695739804601608</v>
      </c>
      <c r="S391" s="7">
        <f t="shared" si="48"/>
        <v>-0.73701752494162431</v>
      </c>
      <c r="T391" s="7">
        <f t="shared" si="52"/>
        <v>0.41023875059728582</v>
      </c>
      <c r="V391" s="7">
        <f t="shared" si="53"/>
        <v>0.12968044627629766</v>
      </c>
      <c r="AF391" s="7">
        <f t="shared" si="54"/>
        <v>2.8321701919130145E-2</v>
      </c>
    </row>
    <row r="392" spans="1:32" x14ac:dyDescent="0.35">
      <c r="A392" t="s">
        <v>41</v>
      </c>
      <c r="B392">
        <v>1983</v>
      </c>
      <c r="C392" s="7">
        <v>1983.5833333333201</v>
      </c>
      <c r="D392">
        <v>1.009032644417426</v>
      </c>
      <c r="E392" s="7">
        <v>1983.5833333333201</v>
      </c>
      <c r="F392" s="1">
        <v>0.99275951237318549</v>
      </c>
      <c r="G392" s="7">
        <v>1983.5833333333201</v>
      </c>
      <c r="H392" s="1">
        <v>1.0198039236214209</v>
      </c>
      <c r="I392" s="7">
        <v>1983.5833333333201</v>
      </c>
      <c r="J392" s="1">
        <v>1.0220797860006554</v>
      </c>
      <c r="L392" s="1">
        <f t="shared" si="49"/>
        <v>1.0109189666031719</v>
      </c>
      <c r="M392" s="1"/>
      <c r="N392" s="1"/>
      <c r="Q392" s="7">
        <f t="shared" si="50"/>
        <v>-4.313869160532445E-2</v>
      </c>
      <c r="R392" s="7">
        <f t="shared" si="51"/>
        <v>-0.1266739688837302</v>
      </c>
      <c r="S392" s="7">
        <f t="shared" si="48"/>
        <v>-0.33907949651411157</v>
      </c>
      <c r="T392" s="7">
        <f t="shared" si="52"/>
        <v>-7.8120811832268267E-2</v>
      </c>
      <c r="V392" s="7">
        <f t="shared" si="53"/>
        <v>-0.1467532422088586</v>
      </c>
      <c r="AF392" s="7">
        <f t="shared" si="54"/>
        <v>-0.24530792862678666</v>
      </c>
    </row>
    <row r="393" spans="1:32" x14ac:dyDescent="0.35">
      <c r="A393" t="s">
        <v>43</v>
      </c>
      <c r="B393">
        <v>1983</v>
      </c>
      <c r="C393" s="7">
        <v>1983.49999999999</v>
      </c>
      <c r="D393">
        <v>1.0005225677125593</v>
      </c>
      <c r="E393" s="7">
        <v>1983.49999999999</v>
      </c>
      <c r="F393" s="1">
        <v>0.99057454191657479</v>
      </c>
      <c r="G393" s="7">
        <v>1983.49999999999</v>
      </c>
      <c r="H393" s="1">
        <v>1.004682607583484</v>
      </c>
      <c r="I393" s="7">
        <v>1983.49999999999</v>
      </c>
      <c r="J393" s="1">
        <v>1.0111924813374591</v>
      </c>
      <c r="L393" s="1">
        <f t="shared" si="49"/>
        <v>1.0017430496375193</v>
      </c>
      <c r="M393" s="1"/>
      <c r="N393" s="1"/>
      <c r="Q393" s="7">
        <f t="shared" si="50"/>
        <v>-0.32880555472052053</v>
      </c>
      <c r="R393" s="7">
        <f t="shared" si="51"/>
        <v>-0.19397092383275436</v>
      </c>
      <c r="S393" s="7">
        <f t="shared" si="48"/>
        <v>-0.76248133405841811</v>
      </c>
      <c r="T393" s="7">
        <f t="shared" si="52"/>
        <v>-0.418353721194477</v>
      </c>
      <c r="V393" s="7">
        <f t="shared" si="53"/>
        <v>-0.42590288345154254</v>
      </c>
      <c r="AF393" s="7">
        <f t="shared" si="54"/>
        <v>-0.55330071182008544</v>
      </c>
    </row>
    <row r="394" spans="1:32" x14ac:dyDescent="0.35">
      <c r="A394" t="s">
        <v>44</v>
      </c>
      <c r="B394">
        <v>1983</v>
      </c>
      <c r="C394" s="7">
        <v>1983.4166666666499</v>
      </c>
      <c r="D394">
        <v>0.99516826916582835</v>
      </c>
      <c r="E394" s="7">
        <v>1983.4166666666499</v>
      </c>
      <c r="F394" s="1">
        <v>0.98977360757662247</v>
      </c>
      <c r="G394" s="7">
        <v>1983.4166666666499</v>
      </c>
      <c r="H394" s="1">
        <v>0.9936764675772034</v>
      </c>
      <c r="I394" s="7">
        <v>1983.4166666666499</v>
      </c>
      <c r="J394" s="1">
        <v>1.0018939947401901</v>
      </c>
      <c r="L394" s="1">
        <f t="shared" si="49"/>
        <v>0.99512808476496106</v>
      </c>
      <c r="M394" s="1"/>
      <c r="N394" s="1"/>
      <c r="Q394" s="7">
        <f t="shared" si="50"/>
        <v>-0.50853903105360476</v>
      </c>
      <c r="R394" s="7">
        <f t="shared" si="51"/>
        <v>-0.21863965197496793</v>
      </c>
      <c r="S394" s="7">
        <f t="shared" si="48"/>
        <v>-1.0706568851306868</v>
      </c>
      <c r="T394" s="7">
        <f t="shared" si="52"/>
        <v>-0.70893538906575426</v>
      </c>
      <c r="V394" s="7">
        <f t="shared" si="53"/>
        <v>-0.62669273930625347</v>
      </c>
      <c r="AF394" s="7">
        <f t="shared" si="54"/>
        <v>-0.77533426437416375</v>
      </c>
    </row>
    <row r="395" spans="1:32" x14ac:dyDescent="0.35">
      <c r="A395" t="s">
        <v>42</v>
      </c>
      <c r="B395">
        <v>1983</v>
      </c>
      <c r="C395" s="7">
        <v>1983.3333333333201</v>
      </c>
      <c r="D395">
        <v>0.99722903075355396</v>
      </c>
      <c r="E395" s="7">
        <v>1983.3333333333201</v>
      </c>
      <c r="F395" s="1">
        <v>0.98386103589008345</v>
      </c>
      <c r="G395" s="7">
        <v>1983.3333333333201</v>
      </c>
      <c r="H395" s="1">
        <v>0.98808538959194248</v>
      </c>
      <c r="I395" s="7">
        <v>1983.3333333333201</v>
      </c>
      <c r="J395" s="1">
        <v>0.99187114852628933</v>
      </c>
      <c r="L395" s="1">
        <f t="shared" si="49"/>
        <v>0.99026165119046727</v>
      </c>
      <c r="M395" s="1"/>
      <c r="N395" s="1"/>
      <c r="Q395" s="7">
        <f t="shared" si="50"/>
        <v>-0.43936323877699596</v>
      </c>
      <c r="R395" s="7">
        <f t="shared" si="51"/>
        <v>-0.4007464942977273</v>
      </c>
      <c r="S395" s="7">
        <f t="shared" si="48"/>
        <v>-1.2272089131997981</v>
      </c>
      <c r="T395" s="7">
        <f t="shared" si="52"/>
        <v>-1.022153603576923</v>
      </c>
      <c r="V395" s="7">
        <f t="shared" si="53"/>
        <v>-0.77236806246286105</v>
      </c>
      <c r="AF395" s="7">
        <f t="shared" si="54"/>
        <v>-0.93867776742067865</v>
      </c>
    </row>
    <row r="396" spans="1:32" x14ac:dyDescent="0.35">
      <c r="A396" t="s">
        <v>40</v>
      </c>
      <c r="B396">
        <v>1983</v>
      </c>
      <c r="C396" s="7">
        <v>1983.24999999999</v>
      </c>
      <c r="D396">
        <v>0.99557400092412962</v>
      </c>
      <c r="E396" s="7">
        <v>1983.24999999999</v>
      </c>
      <c r="F396" s="1">
        <v>0.97147484543372797</v>
      </c>
      <c r="G396" s="7">
        <v>1983.24999999999</v>
      </c>
      <c r="H396" s="1">
        <v>0.97784127918930719</v>
      </c>
      <c r="I396" s="7">
        <v>1983.24999999999</v>
      </c>
      <c r="J396" s="1">
        <v>0.98718260285799853</v>
      </c>
      <c r="L396" s="1">
        <f t="shared" si="49"/>
        <v>0.98301818210129077</v>
      </c>
      <c r="M396" s="1"/>
      <c r="N396" s="1"/>
      <c r="Q396" s="7">
        <f t="shared" si="50"/>
        <v>-0.49491939838991145</v>
      </c>
      <c r="R396" s="7">
        <f t="shared" si="51"/>
        <v>-0.7822403944140629</v>
      </c>
      <c r="S396" s="7">
        <f t="shared" si="48"/>
        <v>-1.5140473839784507</v>
      </c>
      <c r="T396" s="7">
        <f t="shared" si="52"/>
        <v>-1.1686726533094616</v>
      </c>
      <c r="V396" s="7">
        <f t="shared" si="53"/>
        <v>-0.98996995752297168</v>
      </c>
      <c r="AF396" s="7">
        <f t="shared" si="54"/>
        <v>-1.1818072784113456</v>
      </c>
    </row>
    <row r="397" spans="1:32" x14ac:dyDescent="0.35">
      <c r="A397" t="s">
        <v>38</v>
      </c>
      <c r="B397">
        <v>1983</v>
      </c>
      <c r="C397" s="7">
        <v>1983.1666666666499</v>
      </c>
      <c r="D397">
        <v>0.99248766446247216</v>
      </c>
      <c r="E397" s="7">
        <v>1983.1666666666499</v>
      </c>
      <c r="F397" s="1">
        <v>0.972855220141295</v>
      </c>
      <c r="G397" s="7">
        <v>1983.1666666666499</v>
      </c>
      <c r="H397" s="1">
        <v>0.99308754891476692</v>
      </c>
      <c r="I397" s="7">
        <v>1983.1666666666499</v>
      </c>
      <c r="J397" s="1">
        <v>1.0042206323455187</v>
      </c>
      <c r="L397" s="1">
        <f t="shared" si="49"/>
        <v>0.99066276646601326</v>
      </c>
      <c r="M397" s="1"/>
      <c r="N397" s="1"/>
      <c r="Q397" s="7">
        <f t="shared" si="50"/>
        <v>-0.59852176134106305</v>
      </c>
      <c r="R397" s="7">
        <f t="shared" si="51"/>
        <v>-0.73972493878085133</v>
      </c>
      <c r="S397" s="7">
        <f t="shared" si="48"/>
        <v>-1.087146801961614</v>
      </c>
      <c r="T397" s="7">
        <f t="shared" si="52"/>
        <v>-0.63622697261366357</v>
      </c>
      <c r="V397" s="7">
        <f t="shared" si="53"/>
        <v>-0.76540511867429795</v>
      </c>
      <c r="AF397" s="7">
        <f t="shared" si="54"/>
        <v>-0.92521419636187419</v>
      </c>
    </row>
    <row r="398" spans="1:32" x14ac:dyDescent="0.35">
      <c r="A398" t="s">
        <v>36</v>
      </c>
      <c r="B398">
        <v>1983</v>
      </c>
      <c r="C398" s="7">
        <v>1983.0833333333201</v>
      </c>
      <c r="D398">
        <v>1.0002597772177706</v>
      </c>
      <c r="E398" s="7">
        <v>1983.0833333333201</v>
      </c>
      <c r="F398" s="1">
        <v>0.9866485622460982</v>
      </c>
      <c r="G398" s="7">
        <v>1983.0833333333201</v>
      </c>
      <c r="H398" s="1">
        <v>1.0231222103830624</v>
      </c>
      <c r="I398" s="7">
        <v>1983.0833333333201</v>
      </c>
      <c r="J398" s="1">
        <v>1.0237712329136857</v>
      </c>
      <c r="L398" s="1">
        <f t="shared" si="49"/>
        <v>1.0084504456901542</v>
      </c>
      <c r="M398" s="1"/>
      <c r="N398" s="1"/>
      <c r="Q398" s="7">
        <f t="shared" si="50"/>
        <v>-0.33762692483341905</v>
      </c>
      <c r="R398" s="7">
        <f t="shared" si="51"/>
        <v>-0.31489085490801538</v>
      </c>
      <c r="S398" s="7">
        <f t="shared" si="48"/>
        <v>-0.24616637249414439</v>
      </c>
      <c r="T398" s="7">
        <f t="shared" si="52"/>
        <v>-2.5262375143397679E-2</v>
      </c>
      <c r="V398" s="7">
        <f t="shared" si="53"/>
        <v>-0.23098663184474413</v>
      </c>
      <c r="AF398" s="7">
        <f t="shared" si="54"/>
        <v>-0.32816467517507236</v>
      </c>
    </row>
    <row r="399" spans="1:32" x14ac:dyDescent="0.35">
      <c r="A399" t="s">
        <v>34</v>
      </c>
      <c r="B399">
        <v>1983</v>
      </c>
      <c r="C399" s="7">
        <v>1982.99999999999</v>
      </c>
      <c r="D399">
        <v>1.0363537315937754</v>
      </c>
      <c r="E399" s="7">
        <v>1982.99999999999</v>
      </c>
      <c r="F399" s="1">
        <v>1.0038880687954788</v>
      </c>
      <c r="G399" s="7">
        <v>1982.99999999999</v>
      </c>
      <c r="H399" s="1">
        <v>1.0451341612622083</v>
      </c>
      <c r="I399" s="7">
        <v>1982.99999999999</v>
      </c>
      <c r="J399" s="1">
        <v>1.0308838469060331</v>
      </c>
      <c r="L399" s="1">
        <f t="shared" si="49"/>
        <v>1.029064952139374</v>
      </c>
      <c r="M399" s="1"/>
      <c r="N399" s="1"/>
      <c r="Q399" s="7">
        <f t="shared" si="50"/>
        <v>0.87397751559657022</v>
      </c>
      <c r="R399" s="7">
        <f t="shared" si="51"/>
        <v>0.216084880753283</v>
      </c>
      <c r="S399" s="7">
        <f t="shared" si="48"/>
        <v>0.37017551380618113</v>
      </c>
      <c r="T399" s="7">
        <f t="shared" si="52"/>
        <v>0.19700984251274564</v>
      </c>
      <c r="V399" s="7">
        <f t="shared" si="53"/>
        <v>0.41431193816719497</v>
      </c>
      <c r="AF399" s="7">
        <f t="shared" si="54"/>
        <v>0.36376826615574603</v>
      </c>
    </row>
    <row r="400" spans="1:32" x14ac:dyDescent="0.35">
      <c r="A400" t="s">
        <v>33</v>
      </c>
      <c r="B400">
        <v>1982</v>
      </c>
      <c r="C400" s="7">
        <v>1982.9166666666499</v>
      </c>
      <c r="D400">
        <v>1.0468805210053347</v>
      </c>
      <c r="E400" s="7">
        <v>1982.9166666666499</v>
      </c>
      <c r="F400" s="1">
        <v>1.0073561155680717</v>
      </c>
      <c r="G400" s="7">
        <v>1982.9166666666499</v>
      </c>
      <c r="H400" s="1">
        <v>1.0624716313641265</v>
      </c>
      <c r="I400" s="7">
        <v>1982.9166666666499</v>
      </c>
      <c r="J400" s="1">
        <v>1.0295648426408675</v>
      </c>
      <c r="L400" s="1">
        <f t="shared" si="49"/>
        <v>1.0365682776446001</v>
      </c>
      <c r="M400" s="1"/>
      <c r="N400" s="1"/>
      <c r="Q400" s="7">
        <f t="shared" si="50"/>
        <v>1.2273415350013168</v>
      </c>
      <c r="R400" s="7">
        <f t="shared" si="51"/>
        <v>0.32290050689146221</v>
      </c>
      <c r="S400" s="7">
        <f t="shared" ref="S400:S463" si="55">STANDARDIZE(H400, AVERAGE($H$4:$H$891), _xlfn.STDEV.P($H$4:$H$891))</f>
        <v>0.85563039624531612</v>
      </c>
      <c r="T400" s="7">
        <f t="shared" si="52"/>
        <v>0.15579039725229565</v>
      </c>
      <c r="V400" s="7">
        <f t="shared" si="53"/>
        <v>0.64041570884759769</v>
      </c>
      <c r="AF400" s="7">
        <f t="shared" si="54"/>
        <v>0.61561994639765494</v>
      </c>
    </row>
    <row r="401" spans="1:32" x14ac:dyDescent="0.35">
      <c r="A401" t="s">
        <v>35</v>
      </c>
      <c r="B401">
        <v>1982</v>
      </c>
      <c r="C401" s="7">
        <v>1982.8333333333201</v>
      </c>
      <c r="D401">
        <v>1.0423085259085367</v>
      </c>
      <c r="E401" s="7">
        <v>1982.8333333333201</v>
      </c>
      <c r="F401" s="1">
        <v>1.0046394196233921</v>
      </c>
      <c r="G401" s="7">
        <v>1982.8333333333201</v>
      </c>
      <c r="H401" s="1">
        <v>1.0547213507377593</v>
      </c>
      <c r="I401" s="7">
        <v>1982.8333333333201</v>
      </c>
      <c r="J401" s="1">
        <v>1.0192701549010257</v>
      </c>
      <c r="L401" s="1">
        <f t="shared" si="49"/>
        <v>1.0302348627926785</v>
      </c>
      <c r="M401" s="1"/>
      <c r="N401" s="1"/>
      <c r="Q401" s="7">
        <f t="shared" si="50"/>
        <v>1.0738684767933429</v>
      </c>
      <c r="R401" s="7">
        <f t="shared" si="51"/>
        <v>0.23922643979084968</v>
      </c>
      <c r="S401" s="7">
        <f t="shared" si="55"/>
        <v>0.63861998191000247</v>
      </c>
      <c r="T401" s="7">
        <f t="shared" si="52"/>
        <v>-0.16592298076513623</v>
      </c>
      <c r="V401" s="7">
        <f t="shared" si="53"/>
        <v>0.44644797943226466</v>
      </c>
      <c r="AF401" s="7">
        <f t="shared" si="54"/>
        <v>0.40303671633326127</v>
      </c>
    </row>
    <row r="402" spans="1:32" x14ac:dyDescent="0.35">
      <c r="A402" t="s">
        <v>37</v>
      </c>
      <c r="B402">
        <v>1982</v>
      </c>
      <c r="C402" s="7">
        <v>1982.74999999999</v>
      </c>
      <c r="D402">
        <v>1.0467597780497713</v>
      </c>
      <c r="E402" s="7">
        <v>1982.74999999998</v>
      </c>
      <c r="F402" s="1">
        <v>1.0004529272055196</v>
      </c>
      <c r="G402" s="7">
        <v>1982.74999999999</v>
      </c>
      <c r="H402" s="1">
        <v>1.0463485645281261</v>
      </c>
      <c r="I402" s="7">
        <v>1982.74999999998</v>
      </c>
      <c r="J402" s="1">
        <v>1.0222299093974243</v>
      </c>
      <c r="L402" s="1">
        <f t="shared" si="49"/>
        <v>1.0289477947952101</v>
      </c>
      <c r="M402" s="1"/>
      <c r="N402" s="1"/>
      <c r="Q402" s="7">
        <f t="shared" si="50"/>
        <v>1.223288426838457</v>
      </c>
      <c r="R402" s="7">
        <f t="shared" si="51"/>
        <v>0.11028273220542739</v>
      </c>
      <c r="S402" s="7">
        <f t="shared" si="55"/>
        <v>0.4041792058802981</v>
      </c>
      <c r="T402" s="7">
        <f t="shared" si="52"/>
        <v>-7.3429391721771986E-2</v>
      </c>
      <c r="V402" s="7">
        <f t="shared" si="53"/>
        <v>0.41608024330060267</v>
      </c>
      <c r="AF402" s="7">
        <f t="shared" si="54"/>
        <v>0.35983583993222795</v>
      </c>
    </row>
    <row r="403" spans="1:32" x14ac:dyDescent="0.35">
      <c r="A403" t="s">
        <v>39</v>
      </c>
      <c r="B403">
        <v>1982</v>
      </c>
      <c r="C403" s="7">
        <v>1982.6666666666499</v>
      </c>
      <c r="D403">
        <v>1.0436075842719104</v>
      </c>
      <c r="E403" s="7">
        <v>1982.6666666666499</v>
      </c>
      <c r="F403" s="1">
        <v>1.0061384907636002</v>
      </c>
      <c r="G403" s="7">
        <v>1982.6666666666499</v>
      </c>
      <c r="H403" s="1">
        <v>1.0508818518251295</v>
      </c>
      <c r="I403" s="7">
        <v>1982.6666666666499</v>
      </c>
      <c r="J403" s="1">
        <v>1.0330037385553281</v>
      </c>
      <c r="L403" s="1">
        <f t="shared" si="49"/>
        <v>1.033407916353992</v>
      </c>
      <c r="M403" s="1"/>
      <c r="N403" s="1"/>
      <c r="Q403" s="7">
        <f t="shared" si="50"/>
        <v>1.1174753607896157</v>
      </c>
      <c r="R403" s="7">
        <f t="shared" si="51"/>
        <v>0.2853977382094352</v>
      </c>
      <c r="S403" s="7">
        <f t="shared" si="55"/>
        <v>0.53111274571585532</v>
      </c>
      <c r="T403" s="7">
        <f t="shared" si="52"/>
        <v>0.2632573597527525</v>
      </c>
      <c r="V403" s="7">
        <f t="shared" si="53"/>
        <v>0.54931080111691466</v>
      </c>
      <c r="AF403" s="7">
        <f t="shared" si="54"/>
        <v>0.50954134156346931</v>
      </c>
    </row>
    <row r="404" spans="1:32" x14ac:dyDescent="0.35">
      <c r="A404" t="s">
        <v>41</v>
      </c>
      <c r="B404">
        <v>1982</v>
      </c>
      <c r="C404" s="7">
        <v>1982.5833333333201</v>
      </c>
      <c r="D404">
        <v>1.0395571979425413</v>
      </c>
      <c r="E404" s="7">
        <v>1982.5833333333201</v>
      </c>
      <c r="F404" s="1">
        <v>1.0166264617323708</v>
      </c>
      <c r="G404" s="7">
        <v>1982.5833333333201</v>
      </c>
      <c r="H404" s="1">
        <v>1.0309724778100366</v>
      </c>
      <c r="I404" s="7">
        <v>1982.5833333333201</v>
      </c>
      <c r="J404" s="1">
        <v>1.0338622557001913</v>
      </c>
      <c r="L404" s="1">
        <f t="shared" si="49"/>
        <v>1.030254598296285</v>
      </c>
      <c r="M404" s="1"/>
      <c r="N404" s="1"/>
      <c r="Q404" s="7">
        <f t="shared" si="50"/>
        <v>0.98151170297042867</v>
      </c>
      <c r="R404" s="7">
        <f t="shared" si="51"/>
        <v>0.60842659549058664</v>
      </c>
      <c r="S404" s="7">
        <f t="shared" si="55"/>
        <v>-2.6356294756452198E-2</v>
      </c>
      <c r="T404" s="7">
        <f t="shared" si="52"/>
        <v>0.29008638630893435</v>
      </c>
      <c r="V404" s="7">
        <f t="shared" si="53"/>
        <v>0.46341709750337434</v>
      </c>
      <c r="AF404" s="7">
        <f t="shared" si="54"/>
        <v>0.40369914524431466</v>
      </c>
    </row>
    <row r="405" spans="1:32" x14ac:dyDescent="0.35">
      <c r="A405" t="s">
        <v>43</v>
      </c>
      <c r="B405">
        <v>1982</v>
      </c>
      <c r="C405" s="7">
        <v>1982.49999999999</v>
      </c>
      <c r="D405">
        <v>1.0254227587035851</v>
      </c>
      <c r="E405" s="7">
        <v>1982.49999999998</v>
      </c>
      <c r="F405" s="1">
        <v>1.0026452387085441</v>
      </c>
      <c r="G405" s="7">
        <v>1982.49999999999</v>
      </c>
      <c r="H405" s="1">
        <v>1.0110095511308201</v>
      </c>
      <c r="I405" s="7">
        <v>1982.49999999998</v>
      </c>
      <c r="J405" s="1">
        <v>1.0224855384496943</v>
      </c>
      <c r="L405" s="1">
        <f t="shared" si="49"/>
        <v>1.0153907717481609</v>
      </c>
      <c r="M405" s="1"/>
      <c r="N405" s="1"/>
      <c r="Q405" s="7">
        <f t="shared" si="50"/>
        <v>0.50704583629076982</v>
      </c>
      <c r="R405" s="7">
        <f t="shared" si="51"/>
        <v>0.17780579093003832</v>
      </c>
      <c r="S405" s="7">
        <f t="shared" si="55"/>
        <v>-0.58532482749110404</v>
      </c>
      <c r="T405" s="7">
        <f t="shared" si="52"/>
        <v>-6.5440874925202994E-2</v>
      </c>
      <c r="V405" s="7">
        <f t="shared" si="53"/>
        <v>8.521481201125284E-3</v>
      </c>
      <c r="AF405" s="7">
        <f t="shared" si="54"/>
        <v>-9.5210263438802387E-2</v>
      </c>
    </row>
    <row r="406" spans="1:32" x14ac:dyDescent="0.35">
      <c r="A406" t="s">
        <v>44</v>
      </c>
      <c r="B406">
        <v>1982</v>
      </c>
      <c r="C406" s="7">
        <v>1982.4166666666499</v>
      </c>
      <c r="D406">
        <v>1.0261137183724165</v>
      </c>
      <c r="E406" s="7">
        <v>1982.4166666666499</v>
      </c>
      <c r="F406" s="1">
        <v>0.98226786679228095</v>
      </c>
      <c r="G406" s="7">
        <v>1982.4166666666499</v>
      </c>
      <c r="H406" s="1">
        <v>1.0051066397755013</v>
      </c>
      <c r="I406" s="7">
        <v>1982.4166666666499</v>
      </c>
      <c r="J406" s="1">
        <v>1.0122345388932807</v>
      </c>
      <c r="L406" s="1">
        <f t="shared" si="49"/>
        <v>1.0064306909583698</v>
      </c>
      <c r="M406" s="1"/>
      <c r="N406" s="1"/>
      <c r="Q406" s="7">
        <f t="shared" si="50"/>
        <v>0.53024001984275748</v>
      </c>
      <c r="R406" s="7">
        <f t="shared" si="51"/>
        <v>-0.44981600399137467</v>
      </c>
      <c r="S406" s="7">
        <f t="shared" si="55"/>
        <v>-0.75060829279483898</v>
      </c>
      <c r="T406" s="7">
        <f t="shared" si="52"/>
        <v>-0.38578897859674527</v>
      </c>
      <c r="V406" s="7">
        <f t="shared" si="53"/>
        <v>-0.26399331388505037</v>
      </c>
      <c r="AF406" s="7">
        <f t="shared" si="54"/>
        <v>-0.39595843175968892</v>
      </c>
    </row>
    <row r="407" spans="1:32" x14ac:dyDescent="0.35">
      <c r="A407" t="s">
        <v>42</v>
      </c>
      <c r="B407">
        <v>1982</v>
      </c>
      <c r="C407" s="7">
        <v>1982.3333333333201</v>
      </c>
      <c r="D407">
        <v>1.009722211494801</v>
      </c>
      <c r="E407" s="7">
        <v>1982.3333333333201</v>
      </c>
      <c r="F407" s="1">
        <v>0.9765109376125708</v>
      </c>
      <c r="G407" s="7">
        <v>1982.3333333333201</v>
      </c>
      <c r="H407" s="1">
        <v>0.99878280527226315</v>
      </c>
      <c r="I407" s="7">
        <v>1982.3333333333201</v>
      </c>
      <c r="J407" s="1">
        <v>0.99816076099282292</v>
      </c>
      <c r="L407" s="1">
        <f t="shared" si="49"/>
        <v>0.99579417884311439</v>
      </c>
      <c r="M407" s="1"/>
      <c r="N407" s="1"/>
      <c r="Q407" s="7">
        <f t="shared" si="50"/>
        <v>-1.9991254662884483E-2</v>
      </c>
      <c r="R407" s="7">
        <f t="shared" si="51"/>
        <v>-0.62712906672845348</v>
      </c>
      <c r="S407" s="7">
        <f t="shared" si="55"/>
        <v>-0.92767774510174517</v>
      </c>
      <c r="T407" s="7">
        <f t="shared" si="52"/>
        <v>-0.82560053424990976</v>
      </c>
      <c r="V407" s="7">
        <f t="shared" si="53"/>
        <v>-0.60009965018574818</v>
      </c>
      <c r="AF407" s="7">
        <f t="shared" si="54"/>
        <v>-0.75297658941187462</v>
      </c>
    </row>
    <row r="408" spans="1:32" x14ac:dyDescent="0.35">
      <c r="A408" t="s">
        <v>40</v>
      </c>
      <c r="B408">
        <v>1982</v>
      </c>
      <c r="C408" s="7">
        <v>1982.24999999999</v>
      </c>
      <c r="D408">
        <v>0.99251125524596451</v>
      </c>
      <c r="E408" s="7">
        <v>1982.24999999998</v>
      </c>
      <c r="F408" s="1">
        <v>0.96707314752452789</v>
      </c>
      <c r="G408" s="7">
        <v>1982.24999999999</v>
      </c>
      <c r="H408" s="1">
        <v>0.99287819749703776</v>
      </c>
      <c r="I408" s="7">
        <v>1982.24999999998</v>
      </c>
      <c r="J408" s="1">
        <v>0.98997563715228898</v>
      </c>
      <c r="L408" s="1">
        <f t="shared" si="49"/>
        <v>0.98560955935495487</v>
      </c>
      <c r="M408" s="1"/>
      <c r="N408" s="1"/>
      <c r="Q408" s="7">
        <f t="shared" si="50"/>
        <v>-0.59772986423456176</v>
      </c>
      <c r="R408" s="7">
        <f t="shared" si="51"/>
        <v>-0.91781241782445999</v>
      </c>
      <c r="S408" s="7">
        <f t="shared" si="55"/>
        <v>-1.0930087107225079</v>
      </c>
      <c r="T408" s="7">
        <f t="shared" si="52"/>
        <v>-1.0813891416146693</v>
      </c>
      <c r="V408" s="7">
        <f t="shared" si="53"/>
        <v>-0.92248503359904976</v>
      </c>
      <c r="AF408" s="7">
        <f t="shared" si="54"/>
        <v>-1.0948268168784703</v>
      </c>
    </row>
    <row r="409" spans="1:32" x14ac:dyDescent="0.35">
      <c r="A409" t="s">
        <v>38</v>
      </c>
      <c r="B409">
        <v>1982</v>
      </c>
      <c r="C409" s="7">
        <v>1982.1666666666499</v>
      </c>
      <c r="D409">
        <v>1.0001554352171877</v>
      </c>
      <c r="E409" s="7">
        <v>1982.1666666666499</v>
      </c>
      <c r="F409" s="1">
        <v>0.9659218009641104</v>
      </c>
      <c r="G409" s="7">
        <v>1982.1666666666499</v>
      </c>
      <c r="H409" s="1">
        <v>0.99910748981662101</v>
      </c>
      <c r="I409" s="7">
        <v>1982.1666666666499</v>
      </c>
      <c r="J409" s="1">
        <v>1.0005814735724654</v>
      </c>
      <c r="L409" s="1">
        <f t="shared" si="49"/>
        <v>0.99144154989259614</v>
      </c>
      <c r="M409" s="1"/>
      <c r="N409" s="1"/>
      <c r="Q409" s="7">
        <f t="shared" si="50"/>
        <v>-0.34112948456717795</v>
      </c>
      <c r="R409" s="7">
        <f t="shared" si="51"/>
        <v>-0.95327382068814859</v>
      </c>
      <c r="S409" s="7">
        <f t="shared" si="55"/>
        <v>-0.91858647074715483</v>
      </c>
      <c r="T409" s="7">
        <f t="shared" si="52"/>
        <v>-0.74995223476899253</v>
      </c>
      <c r="V409" s="7">
        <f t="shared" si="53"/>
        <v>-0.74073550269286847</v>
      </c>
      <c r="AF409" s="7">
        <f t="shared" si="54"/>
        <v>-0.89907406497708509</v>
      </c>
    </row>
    <row r="410" spans="1:32" x14ac:dyDescent="0.35">
      <c r="A410" t="s">
        <v>36</v>
      </c>
      <c r="B410">
        <v>1982</v>
      </c>
      <c r="C410" s="7">
        <v>1982.0833333333201</v>
      </c>
      <c r="D410">
        <v>1.0230505379194235</v>
      </c>
      <c r="E410" s="7">
        <v>1982.0833333333201</v>
      </c>
      <c r="F410" s="1">
        <v>0.97504536941001241</v>
      </c>
      <c r="G410" s="7">
        <v>1982.0833333333201</v>
      </c>
      <c r="H410" s="1">
        <v>1.0527223221803417</v>
      </c>
      <c r="I410" s="7">
        <v>1982.0833333333201</v>
      </c>
      <c r="J410" s="1">
        <v>1.0389544688454093</v>
      </c>
      <c r="L410" s="1">
        <f t="shared" si="49"/>
        <v>1.0224431745887967</v>
      </c>
      <c r="M410" s="1"/>
      <c r="N410" s="1"/>
      <c r="Q410" s="7">
        <f t="shared" si="50"/>
        <v>0.42741495944560665</v>
      </c>
      <c r="R410" s="7">
        <f t="shared" si="51"/>
        <v>-0.67226847673918877</v>
      </c>
      <c r="S410" s="7">
        <f t="shared" si="55"/>
        <v>0.58264652282808727</v>
      </c>
      <c r="T410" s="7">
        <f t="shared" si="52"/>
        <v>0.44922021668172812</v>
      </c>
      <c r="V410" s="7">
        <f t="shared" si="53"/>
        <v>0.19675330555405832</v>
      </c>
      <c r="AF410" s="7">
        <f t="shared" si="54"/>
        <v>0.14150604373990433</v>
      </c>
    </row>
    <row r="411" spans="1:32" x14ac:dyDescent="0.35">
      <c r="A411" t="s">
        <v>34</v>
      </c>
      <c r="B411">
        <v>1982</v>
      </c>
      <c r="C411" s="7">
        <v>1981.99999999999</v>
      </c>
      <c r="D411">
        <v>1.0525503292379006</v>
      </c>
      <c r="E411" s="7">
        <v>1981.99999999998</v>
      </c>
      <c r="F411" s="1">
        <v>1.0119362918525239</v>
      </c>
      <c r="G411" s="7">
        <v>1981.99999999999</v>
      </c>
      <c r="H411" s="1">
        <v>1.1120908086002681</v>
      </c>
      <c r="I411" s="7">
        <v>1981.99999999998</v>
      </c>
      <c r="J411" s="1">
        <v>1.0821471366661441</v>
      </c>
      <c r="L411" s="1">
        <f t="shared" si="49"/>
        <v>1.0646811415892092</v>
      </c>
      <c r="M411" s="1"/>
      <c r="N411" s="1"/>
      <c r="Q411" s="7">
        <f t="shared" si="50"/>
        <v>1.4176660630206195</v>
      </c>
      <c r="R411" s="7">
        <f t="shared" si="51"/>
        <v>0.46396965322284667</v>
      </c>
      <c r="S411" s="7">
        <f t="shared" si="55"/>
        <v>2.2449837280923108</v>
      </c>
      <c r="T411" s="7">
        <f t="shared" si="52"/>
        <v>1.7990094887171915</v>
      </c>
      <c r="V411" s="7">
        <f t="shared" si="53"/>
        <v>1.481407233263242</v>
      </c>
      <c r="AF411" s="7">
        <f t="shared" si="54"/>
        <v>1.5592378150254385</v>
      </c>
    </row>
    <row r="412" spans="1:32" x14ac:dyDescent="0.35">
      <c r="A412" t="s">
        <v>33</v>
      </c>
      <c r="B412">
        <v>1981</v>
      </c>
      <c r="E412" s="7">
        <v>1981.9166666666499</v>
      </c>
      <c r="F412" s="1">
        <v>1.0371820813467831</v>
      </c>
      <c r="G412" s="7">
        <v>1981.9166666666499</v>
      </c>
      <c r="H412" s="1">
        <v>1.138148310114842</v>
      </c>
      <c r="I412" s="7">
        <v>1981.9166666666499</v>
      </c>
      <c r="J412" s="1">
        <v>1.0823969002522149</v>
      </c>
      <c r="L412" s="1">
        <f t="shared" si="49"/>
        <v>1.0859090972379466</v>
      </c>
      <c r="M412" s="1"/>
      <c r="N412" s="1"/>
      <c r="R412" s="7">
        <f t="shared" si="51"/>
        <v>1.2415384084924834</v>
      </c>
      <c r="S412" s="7">
        <f t="shared" si="55"/>
        <v>2.9746023668010499</v>
      </c>
      <c r="T412" s="7">
        <f t="shared" si="52"/>
        <v>1.8068147071959997</v>
      </c>
      <c r="V412" s="7">
        <f t="shared" si="53"/>
        <v>2.0076518274965109</v>
      </c>
      <c r="AF412" s="7">
        <f t="shared" si="54"/>
        <v>2.2717613880080414</v>
      </c>
    </row>
    <row r="413" spans="1:32" x14ac:dyDescent="0.35">
      <c r="A413" t="s">
        <v>35</v>
      </c>
      <c r="B413">
        <v>1981</v>
      </c>
      <c r="E413" s="7">
        <v>1981.8333333333201</v>
      </c>
      <c r="F413" s="1">
        <v>1.0349883928463968</v>
      </c>
      <c r="G413" s="7">
        <v>1981.8333333333201</v>
      </c>
      <c r="H413" s="1">
        <v>1.1304541408102691</v>
      </c>
      <c r="I413" s="7">
        <v>1981.8333333333201</v>
      </c>
      <c r="J413" s="1">
        <v>1.0813992917313593</v>
      </c>
      <c r="L413" s="1">
        <f t="shared" si="49"/>
        <v>1.082280608462675</v>
      </c>
      <c r="M413" s="1"/>
      <c r="N413" s="1"/>
      <c r="R413" s="7">
        <f t="shared" si="51"/>
        <v>1.1739729383342765</v>
      </c>
      <c r="S413" s="7">
        <f t="shared" si="55"/>
        <v>2.7591630879869529</v>
      </c>
      <c r="T413" s="7">
        <f t="shared" si="52"/>
        <v>1.7756390158788808</v>
      </c>
      <c r="V413" s="7">
        <f t="shared" si="53"/>
        <v>1.9029250140667033</v>
      </c>
      <c r="AF413" s="7">
        <f t="shared" si="54"/>
        <v>2.1499699244557076</v>
      </c>
    </row>
    <row r="414" spans="1:32" x14ac:dyDescent="0.35">
      <c r="A414" t="s">
        <v>37</v>
      </c>
      <c r="B414">
        <v>1981</v>
      </c>
      <c r="E414" s="7">
        <v>1981.74999999998</v>
      </c>
      <c r="F414" s="1">
        <v>1.0373786216486065</v>
      </c>
      <c r="G414" s="7">
        <v>1981.74999999998</v>
      </c>
      <c r="H414" s="1">
        <v>1.1088024287518587</v>
      </c>
      <c r="I414" s="7">
        <v>1981.74999999998</v>
      </c>
      <c r="J414" s="1">
        <v>1.0778675933952773</v>
      </c>
      <c r="L414" s="1">
        <f t="shared" si="49"/>
        <v>1.0746828812652476</v>
      </c>
      <c r="M414" s="1"/>
      <c r="N414" s="1"/>
      <c r="R414" s="7">
        <f t="shared" si="51"/>
        <v>1.2475918376349495</v>
      </c>
      <c r="S414" s="7">
        <f t="shared" si="55"/>
        <v>2.1529080075090548</v>
      </c>
      <c r="T414" s="7">
        <f t="shared" si="52"/>
        <v>1.6652719381634227</v>
      </c>
      <c r="V414" s="7">
        <f t="shared" si="53"/>
        <v>1.6885905944358093</v>
      </c>
      <c r="AF414" s="7">
        <f t="shared" si="54"/>
        <v>1.8949496192111885</v>
      </c>
    </row>
    <row r="415" spans="1:32" x14ac:dyDescent="0.35">
      <c r="A415" t="s">
        <v>39</v>
      </c>
      <c r="B415">
        <v>1981</v>
      </c>
      <c r="E415" s="7">
        <v>1981.6666666666499</v>
      </c>
      <c r="F415" s="1">
        <v>1.0237162562409277</v>
      </c>
      <c r="G415" s="7">
        <v>1981.6666666666499</v>
      </c>
      <c r="H415" s="1">
        <v>1.096369372712668</v>
      </c>
      <c r="I415" s="7">
        <v>1981.6666666666499</v>
      </c>
      <c r="J415" s="1">
        <v>1.0643647524782684</v>
      </c>
      <c r="L415" s="1">
        <f t="shared" si="49"/>
        <v>1.061483460477288</v>
      </c>
      <c r="M415" s="1"/>
      <c r="N415" s="1"/>
      <c r="R415" s="7">
        <f t="shared" si="51"/>
        <v>0.82679182793418393</v>
      </c>
      <c r="S415" s="7">
        <f t="shared" si="55"/>
        <v>1.8047783367794861</v>
      </c>
      <c r="T415" s="7">
        <f t="shared" si="52"/>
        <v>1.243302406496047</v>
      </c>
      <c r="V415" s="7">
        <f t="shared" si="53"/>
        <v>1.2916241904032391</v>
      </c>
      <c r="AF415" s="7">
        <f t="shared" si="54"/>
        <v>1.451906557657723</v>
      </c>
    </row>
    <row r="416" spans="1:32" x14ac:dyDescent="0.35">
      <c r="A416" t="s">
        <v>41</v>
      </c>
      <c r="B416">
        <v>1981</v>
      </c>
      <c r="E416" s="7">
        <v>1981.5833333333201</v>
      </c>
      <c r="F416" s="1">
        <v>1.013522893110907</v>
      </c>
      <c r="G416" s="7">
        <v>1981.5833333333201</v>
      </c>
      <c r="H416" s="1">
        <v>1.075293377497226</v>
      </c>
      <c r="I416" s="7">
        <v>1981.5833333333201</v>
      </c>
      <c r="J416" s="1">
        <v>1.067300081524861</v>
      </c>
      <c r="L416" s="1">
        <f t="shared" si="49"/>
        <v>1.0520387840443313</v>
      </c>
      <c r="M416" s="1"/>
      <c r="N416" s="1"/>
      <c r="R416" s="7">
        <f t="shared" si="51"/>
        <v>0.51283687386852195</v>
      </c>
      <c r="S416" s="7">
        <f t="shared" si="55"/>
        <v>1.2146435178321608</v>
      </c>
      <c r="T416" s="7">
        <f t="shared" si="52"/>
        <v>1.3350326898262814</v>
      </c>
      <c r="V416" s="7">
        <f t="shared" si="53"/>
        <v>1.0208376938423214</v>
      </c>
      <c r="AF416" s="7">
        <f t="shared" si="54"/>
        <v>1.13489277126067</v>
      </c>
    </row>
    <row r="417" spans="1:32" x14ac:dyDescent="0.35">
      <c r="A417" t="s">
        <v>43</v>
      </c>
      <c r="B417">
        <v>1981</v>
      </c>
      <c r="E417" s="7">
        <v>1981.49999999998</v>
      </c>
      <c r="F417" s="1">
        <v>1.0044546110934778</v>
      </c>
      <c r="G417" s="7">
        <v>1981.49999999998</v>
      </c>
      <c r="H417" s="1">
        <v>1.0480651774993948</v>
      </c>
      <c r="I417" s="7">
        <v>1981.49999999998</v>
      </c>
      <c r="J417" s="1">
        <v>1.0514120647385981</v>
      </c>
      <c r="L417" s="1">
        <f t="shared" si="49"/>
        <v>1.0346439511104901</v>
      </c>
      <c r="M417" s="1"/>
      <c r="N417" s="1"/>
      <c r="R417" s="7">
        <f t="shared" si="51"/>
        <v>0.23353434849771096</v>
      </c>
      <c r="S417" s="7">
        <f t="shared" si="55"/>
        <v>0.45224493538188965</v>
      </c>
      <c r="T417" s="7">
        <f t="shared" si="52"/>
        <v>0.83852539601837062</v>
      </c>
      <c r="V417" s="7">
        <f t="shared" si="53"/>
        <v>0.50810155996599038</v>
      </c>
      <c r="AF417" s="7">
        <f t="shared" si="54"/>
        <v>0.5510292698220306</v>
      </c>
    </row>
    <row r="418" spans="1:32" x14ac:dyDescent="0.35">
      <c r="A418" t="s">
        <v>44</v>
      </c>
      <c r="B418">
        <v>1981</v>
      </c>
      <c r="E418" s="7">
        <v>1981.4166666666499</v>
      </c>
      <c r="F418" s="1">
        <v>0.99502475604576668</v>
      </c>
      <c r="G418" s="7">
        <v>1981.4166666666499</v>
      </c>
      <c r="H418" s="1">
        <v>1.0395984279955952</v>
      </c>
      <c r="I418" s="7">
        <v>1981.4166666666499</v>
      </c>
      <c r="J418" s="1">
        <v>1.0289171882879953</v>
      </c>
      <c r="L418" s="1">
        <f t="shared" si="49"/>
        <v>1.0211801241097858</v>
      </c>
      <c r="M418" s="1"/>
      <c r="N418" s="1"/>
      <c r="R418" s="7">
        <f t="shared" si="51"/>
        <v>-5.6904603846764309E-2</v>
      </c>
      <c r="S418" s="7">
        <f t="shared" si="55"/>
        <v>0.2151731561172863</v>
      </c>
      <c r="T418" s="7">
        <f t="shared" si="52"/>
        <v>0.13555092278588476</v>
      </c>
      <c r="V418" s="7">
        <f t="shared" si="53"/>
        <v>9.793982501880226E-2</v>
      </c>
      <c r="AF418" s="7">
        <f t="shared" si="54"/>
        <v>9.9111323539147519E-2</v>
      </c>
    </row>
    <row r="419" spans="1:32" x14ac:dyDescent="0.35">
      <c r="A419" t="s">
        <v>42</v>
      </c>
      <c r="B419">
        <v>1981</v>
      </c>
      <c r="E419" s="7">
        <v>1981.3333333333201</v>
      </c>
      <c r="F419" s="1">
        <v>0.99350103073000307</v>
      </c>
      <c r="G419" s="7">
        <v>1981.3333333333201</v>
      </c>
      <c r="H419" s="1">
        <v>1.0548782410372326</v>
      </c>
      <c r="I419" s="7">
        <v>1981.3333333333201</v>
      </c>
      <c r="J419" s="1">
        <v>1.0142616996522944</v>
      </c>
      <c r="L419" s="1">
        <f t="shared" si="49"/>
        <v>1.0208803238065098</v>
      </c>
      <c r="M419" s="1"/>
      <c r="N419" s="1"/>
      <c r="R419" s="7">
        <f t="shared" si="51"/>
        <v>-0.10383524934789089</v>
      </c>
      <c r="S419" s="7">
        <f t="shared" si="55"/>
        <v>0.64301296205294878</v>
      </c>
      <c r="T419" s="7">
        <f t="shared" si="52"/>
        <v>-0.32243934118688933</v>
      </c>
      <c r="V419" s="7">
        <f t="shared" si="53"/>
        <v>7.2246123839389512E-2</v>
      </c>
      <c r="AF419" s="7">
        <f t="shared" si="54"/>
        <v>8.9048424086833416E-2</v>
      </c>
    </row>
    <row r="420" spans="1:32" x14ac:dyDescent="0.35">
      <c r="A420" t="s">
        <v>40</v>
      </c>
      <c r="B420">
        <v>1981</v>
      </c>
      <c r="E420" s="7">
        <v>1981.24999999998</v>
      </c>
      <c r="F420" s="1">
        <v>0.98458941940815392</v>
      </c>
      <c r="G420" s="7">
        <v>1981.24999999998</v>
      </c>
      <c r="H420" s="1">
        <v>1.0393237105338107</v>
      </c>
      <c r="I420" s="7">
        <v>1981.24999999998</v>
      </c>
      <c r="J420" s="1">
        <v>1.008166665080777</v>
      </c>
      <c r="L420" s="1">
        <f t="shared" si="49"/>
        <v>1.0106932650075804</v>
      </c>
      <c r="M420" s="1"/>
      <c r="N420" s="1"/>
      <c r="R420" s="7">
        <f t="shared" si="51"/>
        <v>-0.37831232698306416</v>
      </c>
      <c r="S420" s="7">
        <f t="shared" si="55"/>
        <v>0.20748097655875694</v>
      </c>
      <c r="T420" s="7">
        <f t="shared" si="52"/>
        <v>-0.51291176839292607</v>
      </c>
      <c r="V420" s="7">
        <f t="shared" si="53"/>
        <v>-0.22791437293907776</v>
      </c>
      <c r="AF420" s="7">
        <f t="shared" si="54"/>
        <v>-0.25288367967789299</v>
      </c>
    </row>
    <row r="421" spans="1:32" x14ac:dyDescent="0.35">
      <c r="A421" t="s">
        <v>38</v>
      </c>
      <c r="B421">
        <v>1981</v>
      </c>
      <c r="E421" s="7">
        <v>1981.1666666666499</v>
      </c>
      <c r="F421" s="1">
        <v>0.98658625063153205</v>
      </c>
      <c r="G421" s="7">
        <v>1981.1666666666499</v>
      </c>
      <c r="H421" s="1">
        <v>1.0402998314114891</v>
      </c>
      <c r="I421" s="7">
        <v>1981.1666666666499</v>
      </c>
      <c r="J421" s="1">
        <v>1.0126880611706894</v>
      </c>
      <c r="L421" s="1">
        <f t="shared" si="49"/>
        <v>1.0131913810712367</v>
      </c>
      <c r="M421" s="1"/>
      <c r="N421" s="1"/>
      <c r="R421" s="7">
        <f t="shared" si="51"/>
        <v>-0.31681004878341645</v>
      </c>
      <c r="S421" s="7">
        <f t="shared" si="55"/>
        <v>0.23481268315344198</v>
      </c>
      <c r="T421" s="7">
        <f t="shared" si="52"/>
        <v>-0.37161621420034296</v>
      </c>
      <c r="V421" s="7">
        <f t="shared" si="53"/>
        <v>-0.15120452661010583</v>
      </c>
      <c r="AF421" s="7">
        <f t="shared" si="54"/>
        <v>-0.16903356180243323</v>
      </c>
    </row>
    <row r="422" spans="1:32" x14ac:dyDescent="0.35">
      <c r="A422" t="s">
        <v>36</v>
      </c>
      <c r="B422">
        <v>1981</v>
      </c>
      <c r="E422" s="7">
        <v>1981.0833333333201</v>
      </c>
      <c r="F422" s="1">
        <v>0.99702702767558515</v>
      </c>
      <c r="G422" s="7">
        <v>1981.0833333333201</v>
      </c>
      <c r="H422" s="1">
        <v>1.0582287356749891</v>
      </c>
      <c r="I422" s="7">
        <v>1981.0833333333201</v>
      </c>
      <c r="J422" s="1">
        <v>1.0108676556474432</v>
      </c>
      <c r="L422" s="1">
        <f t="shared" si="49"/>
        <v>1.0220411396660058</v>
      </c>
      <c r="M422" s="1"/>
      <c r="N422" s="1"/>
      <c r="R422" s="7">
        <f t="shared" si="51"/>
        <v>4.7652385348212912E-3</v>
      </c>
      <c r="S422" s="7">
        <f t="shared" si="55"/>
        <v>0.73682791722942942</v>
      </c>
      <c r="T422" s="7">
        <f t="shared" si="52"/>
        <v>-0.42850466240247781</v>
      </c>
      <c r="V422" s="7">
        <f t="shared" si="53"/>
        <v>0.10436283112059096</v>
      </c>
      <c r="AF422" s="7">
        <f t="shared" si="54"/>
        <v>0.12801160440759904</v>
      </c>
    </row>
    <row r="423" spans="1:32" x14ac:dyDescent="0.35">
      <c r="A423" t="s">
        <v>34</v>
      </c>
      <c r="B423">
        <v>1981</v>
      </c>
      <c r="E423" s="7">
        <v>1980.99999999998</v>
      </c>
      <c r="F423" s="1">
        <v>1.0018260915075345</v>
      </c>
      <c r="G423" s="7">
        <v>1980.99999999998</v>
      </c>
      <c r="H423" s="1">
        <v>1.0762959339768914</v>
      </c>
      <c r="I423" s="7">
        <v>1980.99999999998</v>
      </c>
      <c r="J423" s="1">
        <v>1.0434227886039311</v>
      </c>
      <c r="L423" s="1">
        <f t="shared" si="49"/>
        <v>1.0405149380294523</v>
      </c>
      <c r="M423" s="1"/>
      <c r="N423" s="1"/>
      <c r="R423" s="7">
        <f t="shared" si="51"/>
        <v>0.15257610779351347</v>
      </c>
      <c r="S423" s="7">
        <f t="shared" si="55"/>
        <v>1.242715430003517</v>
      </c>
      <c r="T423" s="7">
        <f t="shared" si="52"/>
        <v>0.58885711290469001</v>
      </c>
      <c r="V423" s="7">
        <f t="shared" si="53"/>
        <v>0.66138288356724018</v>
      </c>
      <c r="AF423" s="7">
        <f t="shared" si="54"/>
        <v>0.74809094856554414</v>
      </c>
    </row>
    <row r="424" spans="1:32" x14ac:dyDescent="0.35">
      <c r="A424" t="s">
        <v>33</v>
      </c>
      <c r="B424">
        <v>1980</v>
      </c>
      <c r="E424" s="7">
        <v>1980.9166666666499</v>
      </c>
      <c r="F424" s="1">
        <v>0.99851858219994316</v>
      </c>
      <c r="G424" s="7">
        <v>1980.9166666666499</v>
      </c>
      <c r="H424" s="1">
        <v>1.0910767296720323</v>
      </c>
      <c r="I424" s="7">
        <v>1980.9166666666499</v>
      </c>
      <c r="J424" s="1">
        <v>1.0516546655848349</v>
      </c>
      <c r="L424" s="1">
        <f t="shared" si="49"/>
        <v>1.0470833258189367</v>
      </c>
      <c r="M424" s="1"/>
      <c r="N424" s="1"/>
      <c r="R424" s="7">
        <f t="shared" si="51"/>
        <v>5.0705025650038232E-2</v>
      </c>
      <c r="S424" s="7">
        <f t="shared" si="55"/>
        <v>1.656582585612778</v>
      </c>
      <c r="T424" s="7">
        <f t="shared" si="52"/>
        <v>0.84610677582561677</v>
      </c>
      <c r="V424" s="7">
        <f t="shared" si="53"/>
        <v>0.85113146236281112</v>
      </c>
      <c r="AF424" s="7">
        <f t="shared" si="54"/>
        <v>0.9685611254371036</v>
      </c>
    </row>
    <row r="425" spans="1:32" x14ac:dyDescent="0.35">
      <c r="A425" t="s">
        <v>35</v>
      </c>
      <c r="B425">
        <v>1980</v>
      </c>
      <c r="E425" s="7">
        <v>1980.8333333333101</v>
      </c>
      <c r="F425" s="1">
        <v>0.99833002228722989</v>
      </c>
      <c r="G425" s="7">
        <v>1980.8333333333201</v>
      </c>
      <c r="H425" s="1">
        <v>1.0730784099584731</v>
      </c>
      <c r="I425" s="7">
        <v>1980.8333333333101</v>
      </c>
      <c r="J425" s="1">
        <v>1.0425364293242758</v>
      </c>
      <c r="L425" s="1">
        <f t="shared" si="49"/>
        <v>1.0379816205233263</v>
      </c>
      <c r="M425" s="1"/>
      <c r="N425" s="1"/>
      <c r="R425" s="7">
        <f t="shared" si="51"/>
        <v>4.489739199867037E-2</v>
      </c>
      <c r="S425" s="7">
        <f t="shared" si="55"/>
        <v>1.1526236960351623</v>
      </c>
      <c r="T425" s="7">
        <f t="shared" si="52"/>
        <v>0.56115800777385416</v>
      </c>
      <c r="V425" s="7">
        <f t="shared" si="53"/>
        <v>0.586226365269229</v>
      </c>
      <c r="AF425" s="7">
        <f t="shared" si="54"/>
        <v>0.66305928226509159</v>
      </c>
    </row>
    <row r="426" spans="1:32" x14ac:dyDescent="0.35">
      <c r="A426" t="s">
        <v>37</v>
      </c>
      <c r="B426">
        <v>1980</v>
      </c>
      <c r="E426" s="7">
        <v>1980.74999999998</v>
      </c>
      <c r="F426" s="1">
        <v>0.99514716803965797</v>
      </c>
      <c r="G426" s="7">
        <v>1980.74999999998</v>
      </c>
      <c r="H426" s="1">
        <v>1.0577117930428388</v>
      </c>
      <c r="I426" s="7">
        <v>1980.74999999998</v>
      </c>
      <c r="J426" s="1">
        <v>1.0302965450088202</v>
      </c>
      <c r="L426" s="1">
        <f t="shared" si="49"/>
        <v>1.0277185020304389</v>
      </c>
      <c r="M426" s="1"/>
      <c r="N426" s="1"/>
      <c r="R426" s="7">
        <f t="shared" si="51"/>
        <v>-5.3134322004646829E-2</v>
      </c>
      <c r="S426" s="7">
        <f t="shared" si="55"/>
        <v>0.72235335299121728</v>
      </c>
      <c r="T426" s="7">
        <f t="shared" si="52"/>
        <v>0.17865640799941163</v>
      </c>
      <c r="V426" s="7">
        <f t="shared" si="53"/>
        <v>0.2826251463286607</v>
      </c>
      <c r="AF426" s="7">
        <f t="shared" si="54"/>
        <v>0.31857420892592025</v>
      </c>
    </row>
    <row r="427" spans="1:32" x14ac:dyDescent="0.35">
      <c r="A427" t="s">
        <v>39</v>
      </c>
      <c r="B427">
        <v>1980</v>
      </c>
      <c r="E427" s="7">
        <v>1980.6666666666499</v>
      </c>
      <c r="F427" s="1">
        <v>0.99545864498223291</v>
      </c>
      <c r="G427" s="7">
        <v>1980.6666666666499</v>
      </c>
      <c r="H427" s="1">
        <v>1.0482369384583337</v>
      </c>
      <c r="I427" s="7">
        <v>1980.6666666666499</v>
      </c>
      <c r="J427" s="1">
        <v>1.0349707862327993</v>
      </c>
      <c r="L427" s="1">
        <f t="shared" si="49"/>
        <v>1.0262221232244553</v>
      </c>
      <c r="M427" s="1"/>
      <c r="N427" s="1"/>
      <c r="R427" s="7">
        <f t="shared" si="51"/>
        <v>-4.3540851434504368E-2</v>
      </c>
      <c r="S427" s="7">
        <f t="shared" si="55"/>
        <v>0.45705429889566368</v>
      </c>
      <c r="T427" s="7">
        <f t="shared" si="52"/>
        <v>0.32472843775266752</v>
      </c>
      <c r="V427" s="7">
        <f t="shared" si="53"/>
        <v>0.24608062840460895</v>
      </c>
      <c r="AF427" s="7">
        <f t="shared" si="54"/>
        <v>0.26834774383349308</v>
      </c>
    </row>
    <row r="428" spans="1:32" x14ac:dyDescent="0.35">
      <c r="A428" t="s">
        <v>41</v>
      </c>
      <c r="B428">
        <v>1980</v>
      </c>
      <c r="E428" s="7">
        <v>1980.5833333333101</v>
      </c>
      <c r="F428" s="1">
        <v>0.98815238128591798</v>
      </c>
      <c r="G428" s="7">
        <v>1980.5833333333201</v>
      </c>
      <c r="H428" s="1">
        <v>1.0397964721567545</v>
      </c>
      <c r="I428" s="7">
        <v>1980.5833333333101</v>
      </c>
      <c r="J428" s="1">
        <v>1.0182434245249306</v>
      </c>
      <c r="L428" s="1">
        <f t="shared" si="49"/>
        <v>1.0153974259892011</v>
      </c>
      <c r="M428" s="1"/>
      <c r="N428" s="1"/>
      <c r="R428" s="7">
        <f t="shared" si="51"/>
        <v>-0.26857332147499119</v>
      </c>
      <c r="S428" s="7">
        <f t="shared" si="55"/>
        <v>0.22071845796399089</v>
      </c>
      <c r="T428" s="7">
        <f t="shared" si="52"/>
        <v>-0.19800874246612685</v>
      </c>
      <c r="V428" s="7">
        <f t="shared" si="53"/>
        <v>-8.1954535325709052E-2</v>
      </c>
      <c r="AF428" s="7">
        <f t="shared" si="54"/>
        <v>-9.4986911568283455E-2</v>
      </c>
    </row>
    <row r="429" spans="1:32" x14ac:dyDescent="0.35">
      <c r="A429" t="s">
        <v>43</v>
      </c>
      <c r="B429">
        <v>1980</v>
      </c>
      <c r="E429" s="7">
        <v>1980.49999999998</v>
      </c>
      <c r="F429" s="1">
        <v>0.99306332763578808</v>
      </c>
      <c r="G429" s="7">
        <v>1980.49999999998</v>
      </c>
      <c r="H429" s="1">
        <v>1.0358802281257338</v>
      </c>
      <c r="I429" s="7">
        <v>1980.49999999998</v>
      </c>
      <c r="J429" s="1">
        <v>1.0081915438643028</v>
      </c>
      <c r="L429" s="1">
        <f t="shared" si="49"/>
        <v>1.0123783665419417</v>
      </c>
      <c r="M429" s="1"/>
      <c r="N429" s="1"/>
      <c r="R429" s="7">
        <f t="shared" si="51"/>
        <v>-0.11731647758295176</v>
      </c>
      <c r="S429" s="7">
        <f t="shared" si="55"/>
        <v>0.11106233313688593</v>
      </c>
      <c r="T429" s="7">
        <f t="shared" si="52"/>
        <v>-0.51213429580790948</v>
      </c>
      <c r="V429" s="7">
        <f t="shared" si="53"/>
        <v>-0.17279614675132512</v>
      </c>
      <c r="AF429" s="7">
        <f t="shared" si="54"/>
        <v>-0.1963226718272385</v>
      </c>
    </row>
    <row r="430" spans="1:32" x14ac:dyDescent="0.35">
      <c r="A430" t="s">
        <v>44</v>
      </c>
      <c r="B430">
        <v>1980</v>
      </c>
      <c r="E430" s="7">
        <v>1980.4166666666499</v>
      </c>
      <c r="F430" s="1">
        <v>0.98926569574657386</v>
      </c>
      <c r="G430" s="7">
        <v>1980.4166666666499</v>
      </c>
      <c r="H430" s="1">
        <v>1.0368957813040287</v>
      </c>
      <c r="I430" s="7">
        <v>1980.4166666666499</v>
      </c>
      <c r="J430" s="1">
        <v>1.0077347001156247</v>
      </c>
      <c r="L430" s="1">
        <f t="shared" si="49"/>
        <v>1.0112987257220758</v>
      </c>
      <c r="M430" s="1"/>
      <c r="N430" s="1"/>
      <c r="R430" s="7">
        <f t="shared" si="51"/>
        <v>-0.23428330493212457</v>
      </c>
      <c r="S430" s="7">
        <f t="shared" si="55"/>
        <v>0.13949815715744543</v>
      </c>
      <c r="T430" s="7">
        <f t="shared" si="52"/>
        <v>-0.52641085759662287</v>
      </c>
      <c r="V430" s="7">
        <f t="shared" si="53"/>
        <v>-0.20706533512376735</v>
      </c>
      <c r="AF430" s="7">
        <f t="shared" si="54"/>
        <v>-0.23256118425104164</v>
      </c>
    </row>
    <row r="431" spans="1:32" x14ac:dyDescent="0.35">
      <c r="A431" t="s">
        <v>42</v>
      </c>
      <c r="B431">
        <v>1980</v>
      </c>
      <c r="E431" s="7">
        <v>1980.3333333333101</v>
      </c>
      <c r="F431" s="1">
        <v>0.98353445096082448</v>
      </c>
      <c r="G431" s="7">
        <v>1980.3333333333201</v>
      </c>
      <c r="H431" s="1">
        <v>1.0362909788986512</v>
      </c>
      <c r="I431" s="7">
        <v>1980.3333333333101</v>
      </c>
      <c r="J431" s="1">
        <v>1.0093500797721346</v>
      </c>
      <c r="L431" s="1">
        <f t="shared" si="49"/>
        <v>1.0097251698772034</v>
      </c>
      <c r="M431" s="1"/>
      <c r="N431" s="1"/>
      <c r="R431" s="7">
        <f t="shared" si="51"/>
        <v>-0.41080528992348747</v>
      </c>
      <c r="S431" s="7">
        <f t="shared" si="55"/>
        <v>0.12256349028416455</v>
      </c>
      <c r="T431" s="7">
        <f t="shared" si="52"/>
        <v>-0.47592955508317375</v>
      </c>
      <c r="V431" s="7">
        <f t="shared" si="53"/>
        <v>-0.25472378490749886</v>
      </c>
      <c r="AF431" s="7">
        <f t="shared" si="54"/>
        <v>-0.2853781229816833</v>
      </c>
    </row>
    <row r="432" spans="1:32" x14ac:dyDescent="0.35">
      <c r="A432" t="s">
        <v>40</v>
      </c>
      <c r="B432">
        <v>1980</v>
      </c>
      <c r="E432" s="7">
        <v>1980.24999999998</v>
      </c>
      <c r="F432" s="1">
        <v>0.96441128744408966</v>
      </c>
      <c r="G432" s="7">
        <v>1980.24999999998</v>
      </c>
      <c r="H432" s="1">
        <v>1.0300832931479653</v>
      </c>
      <c r="I432" s="7">
        <v>1980.24999999998</v>
      </c>
      <c r="J432" s="1">
        <v>1.0090019109781316</v>
      </c>
      <c r="L432" s="1">
        <f t="shared" si="49"/>
        <v>1.0011654971900621</v>
      </c>
      <c r="M432" s="1"/>
      <c r="N432" s="1"/>
      <c r="R432" s="7">
        <f t="shared" si="51"/>
        <v>-0.99979754369738794</v>
      </c>
      <c r="S432" s="7">
        <f t="shared" si="55"/>
        <v>-5.1253758634112204E-2</v>
      </c>
      <c r="T432" s="7">
        <f t="shared" si="52"/>
        <v>-0.48680997823631794</v>
      </c>
      <c r="V432" s="7">
        <f t="shared" si="53"/>
        <v>-0.51262042685593945</v>
      </c>
      <c r="AF432" s="7">
        <f t="shared" si="54"/>
        <v>-0.57268645674326657</v>
      </c>
    </row>
    <row r="433" spans="1:32" x14ac:dyDescent="0.35">
      <c r="A433" t="s">
        <v>38</v>
      </c>
      <c r="B433">
        <v>1980</v>
      </c>
      <c r="E433" s="7">
        <v>1980.1666666666499</v>
      </c>
      <c r="F433" s="1">
        <v>0.97313285285410955</v>
      </c>
      <c r="G433" s="7">
        <v>1980.1666666666499</v>
      </c>
      <c r="H433" s="1">
        <v>1.031332710224208</v>
      </c>
      <c r="I433" s="7">
        <v>1980.1666666666499</v>
      </c>
      <c r="J433" s="1">
        <v>1.0085713200304363</v>
      </c>
      <c r="L433" s="1">
        <f t="shared" si="49"/>
        <v>1.0043456277029179</v>
      </c>
      <c r="M433" s="1"/>
      <c r="N433" s="1"/>
      <c r="R433" s="7">
        <f t="shared" si="51"/>
        <v>-0.7311738683944633</v>
      </c>
      <c r="S433" s="7">
        <f t="shared" si="55"/>
        <v>-1.6269668319935107E-2</v>
      </c>
      <c r="T433" s="7">
        <f t="shared" si="52"/>
        <v>-0.50026612880907306</v>
      </c>
      <c r="V433" s="7">
        <f t="shared" si="53"/>
        <v>-0.41590322184115713</v>
      </c>
      <c r="AF433" s="7">
        <f t="shared" si="54"/>
        <v>-0.46594429122033265</v>
      </c>
    </row>
    <row r="434" spans="1:32" x14ac:dyDescent="0.35">
      <c r="A434" t="s">
        <v>36</v>
      </c>
      <c r="B434">
        <v>1980</v>
      </c>
      <c r="E434" s="7">
        <v>1980.0833333333101</v>
      </c>
      <c r="F434" s="1">
        <v>0.9913931745060387</v>
      </c>
      <c r="G434" s="7">
        <v>1980.0833333333201</v>
      </c>
      <c r="H434" s="1">
        <v>1.0547594335866097</v>
      </c>
      <c r="I434" s="7">
        <v>1980.0833333333101</v>
      </c>
      <c r="J434" s="1">
        <v>1.0341282548477371</v>
      </c>
      <c r="L434" s="1">
        <f t="shared" si="49"/>
        <v>1.0267602876467952</v>
      </c>
      <c r="M434" s="1"/>
      <c r="N434" s="1"/>
      <c r="R434" s="7">
        <f t="shared" si="51"/>
        <v>-0.16875709070001133</v>
      </c>
      <c r="S434" s="7">
        <f t="shared" si="55"/>
        <v>0.63968631424124534</v>
      </c>
      <c r="T434" s="7">
        <f t="shared" si="52"/>
        <v>0.29839897300114832</v>
      </c>
      <c r="V434" s="7">
        <f t="shared" si="53"/>
        <v>0.25644273218079411</v>
      </c>
      <c r="AF434" s="7">
        <f t="shared" si="54"/>
        <v>0.28641141625691585</v>
      </c>
    </row>
    <row r="435" spans="1:32" x14ac:dyDescent="0.35">
      <c r="A435" t="s">
        <v>34</v>
      </c>
      <c r="B435">
        <v>1980</v>
      </c>
      <c r="E435" s="7">
        <v>1979.99999999998</v>
      </c>
      <c r="F435" s="1">
        <v>1.0264889168742062</v>
      </c>
      <c r="G435" s="7">
        <v>1979.99999999998</v>
      </c>
      <c r="H435" s="1">
        <v>1.0792867276424525</v>
      </c>
      <c r="I435" s="7">
        <v>1979.99999999998</v>
      </c>
      <c r="J435" s="1">
        <v>1.0719663187610931</v>
      </c>
      <c r="L435" s="1">
        <f t="shared" si="49"/>
        <v>1.0592473210925839</v>
      </c>
      <c r="M435" s="1"/>
      <c r="N435" s="1"/>
      <c r="R435" s="7">
        <f t="shared" si="51"/>
        <v>0.91218960398288906</v>
      </c>
      <c r="S435" s="7">
        <f t="shared" si="55"/>
        <v>1.3264586392941293</v>
      </c>
      <c r="T435" s="7">
        <f t="shared" si="52"/>
        <v>1.4808545915522693</v>
      </c>
      <c r="V435" s="7">
        <f t="shared" si="53"/>
        <v>1.2398342782764293</v>
      </c>
      <c r="AF435" s="7">
        <f t="shared" si="54"/>
        <v>1.3768497763811298</v>
      </c>
    </row>
    <row r="436" spans="1:32" x14ac:dyDescent="0.35">
      <c r="A436" t="s">
        <v>33</v>
      </c>
      <c r="B436">
        <v>1979</v>
      </c>
      <c r="E436" s="7">
        <v>1979.9166666666499</v>
      </c>
      <c r="F436" s="1">
        <v>1.0445519959266993</v>
      </c>
      <c r="G436" s="7">
        <v>1979.9166666666499</v>
      </c>
      <c r="H436" s="1">
        <v>1.0891904712560387</v>
      </c>
      <c r="I436" s="7">
        <v>1979.9166666666499</v>
      </c>
      <c r="J436" s="1">
        <v>1.0867314465796492</v>
      </c>
      <c r="L436" s="1">
        <f t="shared" si="49"/>
        <v>1.0734913045874623</v>
      </c>
      <c r="M436" s="1"/>
      <c r="N436" s="1"/>
      <c r="R436" s="7">
        <f t="shared" si="51"/>
        <v>1.468531321811835</v>
      </c>
      <c r="S436" s="7">
        <f t="shared" si="55"/>
        <v>1.6037667276933079</v>
      </c>
      <c r="T436" s="7">
        <f t="shared" si="52"/>
        <v>1.942271126702062</v>
      </c>
      <c r="V436" s="7">
        <f t="shared" si="53"/>
        <v>1.671523058735735</v>
      </c>
      <c r="AF436" s="7">
        <f t="shared" si="54"/>
        <v>1.8549539415309035</v>
      </c>
    </row>
    <row r="437" spans="1:32" x14ac:dyDescent="0.35">
      <c r="A437" t="s">
        <v>35</v>
      </c>
      <c r="B437">
        <v>1979</v>
      </c>
      <c r="E437" s="7">
        <v>1979.8333333333101</v>
      </c>
      <c r="F437" s="1">
        <v>1.0446364628206275</v>
      </c>
      <c r="G437" s="7">
        <v>1979.8333333333101</v>
      </c>
      <c r="H437" s="1">
        <v>1.078069125291568</v>
      </c>
      <c r="I437" s="7">
        <v>1979.8333333333101</v>
      </c>
      <c r="J437" s="1">
        <v>1.0803804301316338</v>
      </c>
      <c r="L437" s="1">
        <f t="shared" si="49"/>
        <v>1.0676953394146096</v>
      </c>
      <c r="M437" s="1"/>
      <c r="N437" s="1"/>
      <c r="R437" s="7">
        <f t="shared" si="51"/>
        <v>1.4711328969215436</v>
      </c>
      <c r="S437" s="7">
        <f t="shared" si="55"/>
        <v>1.292365371785575</v>
      </c>
      <c r="T437" s="7">
        <f t="shared" si="52"/>
        <v>1.7437991567920055</v>
      </c>
      <c r="V437" s="7">
        <f t="shared" si="53"/>
        <v>1.5024324751663747</v>
      </c>
      <c r="AF437" s="7">
        <f t="shared" si="54"/>
        <v>1.6604103932882162</v>
      </c>
    </row>
    <row r="438" spans="1:32" x14ac:dyDescent="0.35">
      <c r="A438" t="s">
        <v>37</v>
      </c>
      <c r="B438">
        <v>1979</v>
      </c>
      <c r="E438" s="7">
        <v>1979.74999999998</v>
      </c>
      <c r="F438" s="1">
        <v>1.0353936941700546</v>
      </c>
      <c r="G438" s="7">
        <v>1979.74999999998</v>
      </c>
      <c r="H438" s="1">
        <v>1.0787358259989899</v>
      </c>
      <c r="I438" s="7">
        <v>1979.74999999998</v>
      </c>
      <c r="J438" s="1">
        <v>1.0724054426273153</v>
      </c>
      <c r="L438" s="1">
        <f t="shared" si="49"/>
        <v>1.0621783209321201</v>
      </c>
      <c r="M438" s="1"/>
      <c r="N438" s="1"/>
      <c r="R438" s="7">
        <f t="shared" si="51"/>
        <v>1.1864561940398424</v>
      </c>
      <c r="S438" s="7">
        <f t="shared" si="55"/>
        <v>1.3110332115361847</v>
      </c>
      <c r="T438" s="7">
        <f t="shared" si="52"/>
        <v>1.4945773994645184</v>
      </c>
      <c r="V438" s="7">
        <f t="shared" si="53"/>
        <v>1.3306889350135152</v>
      </c>
      <c r="AF438" s="7">
        <f t="shared" si="54"/>
        <v>1.4752297858664969</v>
      </c>
    </row>
    <row r="439" spans="1:32" x14ac:dyDescent="0.35">
      <c r="A439" t="s">
        <v>39</v>
      </c>
      <c r="B439">
        <v>1979</v>
      </c>
      <c r="E439" s="7">
        <v>1979.6666666666499</v>
      </c>
      <c r="F439" s="1">
        <v>1.019176956449281</v>
      </c>
      <c r="G439" s="7">
        <v>1979.6666666666499</v>
      </c>
      <c r="H439" s="1">
        <v>1.0654440951820177</v>
      </c>
      <c r="I439" s="7">
        <v>1979.6666666666499</v>
      </c>
      <c r="J439" s="1">
        <v>1.0708092680897368</v>
      </c>
      <c r="L439" s="1">
        <f t="shared" si="49"/>
        <v>1.0518101065736785</v>
      </c>
      <c r="M439" s="1"/>
      <c r="N439" s="1"/>
      <c r="R439" s="7">
        <f t="shared" si="51"/>
        <v>0.68698167505348084</v>
      </c>
      <c r="S439" s="7">
        <f t="shared" si="55"/>
        <v>0.93886036375420256</v>
      </c>
      <c r="T439" s="7">
        <f t="shared" si="52"/>
        <v>1.4446962651001944</v>
      </c>
      <c r="V439" s="7">
        <f t="shared" si="53"/>
        <v>1.0235127679692926</v>
      </c>
      <c r="AF439" s="7">
        <f t="shared" si="54"/>
        <v>1.1272171339479526</v>
      </c>
    </row>
    <row r="440" spans="1:32" x14ac:dyDescent="0.35">
      <c r="A440" t="s">
        <v>41</v>
      </c>
      <c r="B440">
        <v>1979</v>
      </c>
      <c r="E440" s="7">
        <v>1979.5833333333101</v>
      </c>
      <c r="F440" s="1">
        <v>1.0068478805849936</v>
      </c>
      <c r="G440" s="7">
        <v>1979.5833333333101</v>
      </c>
      <c r="H440" s="1">
        <v>1.0443194204086612</v>
      </c>
      <c r="I440" s="7">
        <v>1979.5833333333101</v>
      </c>
      <c r="J440" s="1">
        <v>1.0630113699515538</v>
      </c>
      <c r="L440" s="1">
        <f t="shared" si="49"/>
        <v>1.0380595569817361</v>
      </c>
      <c r="M440" s="1"/>
      <c r="N440" s="1"/>
      <c r="R440" s="7">
        <f t="shared" si="51"/>
        <v>0.30724690084098183</v>
      </c>
      <c r="S440" s="7">
        <f t="shared" si="55"/>
        <v>0.34736250112601613</v>
      </c>
      <c r="T440" s="7">
        <f t="shared" si="52"/>
        <v>1.201008625915011</v>
      </c>
      <c r="V440" s="7">
        <f t="shared" si="53"/>
        <v>0.61853934262733634</v>
      </c>
      <c r="AF440" s="7">
        <f t="shared" si="54"/>
        <v>0.66567524607859574</v>
      </c>
    </row>
    <row r="441" spans="1:32" x14ac:dyDescent="0.35">
      <c r="A441" t="s">
        <v>43</v>
      </c>
      <c r="B441">
        <v>1979</v>
      </c>
      <c r="E441" s="7">
        <v>1979.49999999998</v>
      </c>
      <c r="F441" s="1">
        <v>0.99170629749843953</v>
      </c>
      <c r="G441" s="7">
        <v>1979.49999999998</v>
      </c>
      <c r="H441" s="1">
        <v>1.0178292412559007</v>
      </c>
      <c r="I441" s="7">
        <v>1979.49999999998</v>
      </c>
      <c r="J441" s="1">
        <v>1.0550201876475118</v>
      </c>
      <c r="L441" s="1">
        <f t="shared" si="49"/>
        <v>1.021518575467284</v>
      </c>
      <c r="M441" s="1"/>
      <c r="N441" s="1"/>
      <c r="R441" s="7">
        <f t="shared" si="51"/>
        <v>-0.15911292189702025</v>
      </c>
      <c r="S441" s="7">
        <f t="shared" si="55"/>
        <v>-0.39437125419115554</v>
      </c>
      <c r="T441" s="7">
        <f t="shared" si="52"/>
        <v>0.95128077419622026</v>
      </c>
      <c r="V441" s="7">
        <f t="shared" si="53"/>
        <v>0.13259886603601481</v>
      </c>
      <c r="AF441" s="7">
        <f t="shared" si="54"/>
        <v>0.11047155881172235</v>
      </c>
    </row>
    <row r="442" spans="1:32" x14ac:dyDescent="0.35">
      <c r="A442" t="s">
        <v>44</v>
      </c>
      <c r="B442">
        <v>1979</v>
      </c>
      <c r="E442" s="7">
        <v>1979.4166666666499</v>
      </c>
      <c r="F442" s="1">
        <v>0.98356722659930362</v>
      </c>
      <c r="G442" s="7">
        <v>1979.4166666666499</v>
      </c>
      <c r="H442" s="1">
        <v>1.0102422093368799</v>
      </c>
      <c r="I442" s="7">
        <v>1979.4166666666499</v>
      </c>
      <c r="J442" s="1">
        <v>1.0501150766519078</v>
      </c>
      <c r="L442" s="1">
        <f t="shared" si="49"/>
        <v>1.0146415041960306</v>
      </c>
      <c r="M442" s="1"/>
      <c r="N442" s="1"/>
      <c r="R442" s="7">
        <f t="shared" si="51"/>
        <v>-0.40979580228511553</v>
      </c>
      <c r="S442" s="7">
        <f t="shared" si="55"/>
        <v>-0.60681065086545394</v>
      </c>
      <c r="T442" s="7">
        <f t="shared" si="52"/>
        <v>0.79799396571547476</v>
      </c>
      <c r="V442" s="7">
        <f t="shared" si="53"/>
        <v>-7.2870829145031554E-2</v>
      </c>
      <c r="AF442" s="7">
        <f t="shared" si="54"/>
        <v>-0.12035968442864663</v>
      </c>
    </row>
    <row r="443" spans="1:32" x14ac:dyDescent="0.35">
      <c r="A443" t="s">
        <v>42</v>
      </c>
      <c r="B443">
        <v>1979</v>
      </c>
      <c r="E443" s="7">
        <v>1979.3333333333101</v>
      </c>
      <c r="F443" s="1">
        <v>0.9899935621752689</v>
      </c>
      <c r="G443" s="7">
        <v>1979.3333333333101</v>
      </c>
      <c r="H443" s="1">
        <v>1.0112155006315406</v>
      </c>
      <c r="I443" s="7">
        <v>1979.3333333333101</v>
      </c>
      <c r="J443" s="1">
        <v>1.0414194844033142</v>
      </c>
      <c r="L443" s="1">
        <f t="shared" si="49"/>
        <v>1.0142095157367079</v>
      </c>
      <c r="M443" s="1"/>
      <c r="N443" s="1"/>
      <c r="R443" s="7">
        <f t="shared" si="51"/>
        <v>-0.21186506393824878</v>
      </c>
      <c r="S443" s="7">
        <f t="shared" si="55"/>
        <v>-0.57955817352873562</v>
      </c>
      <c r="T443" s="7">
        <f t="shared" si="52"/>
        <v>0.52625300310904133</v>
      </c>
      <c r="V443" s="7">
        <f t="shared" si="53"/>
        <v>-8.8390078119314361E-2</v>
      </c>
      <c r="AF443" s="7">
        <f t="shared" si="54"/>
        <v>-0.13485952443288921</v>
      </c>
    </row>
    <row r="444" spans="1:32" x14ac:dyDescent="0.35">
      <c r="A444" t="s">
        <v>40</v>
      </c>
      <c r="B444">
        <v>1979</v>
      </c>
      <c r="E444" s="7">
        <v>1979.24999999998</v>
      </c>
      <c r="F444" s="1">
        <v>0.98419324618218107</v>
      </c>
      <c r="G444" s="7">
        <v>1979.24999999998</v>
      </c>
      <c r="H444" s="1">
        <v>0.99934056904107671</v>
      </c>
      <c r="I444" s="7">
        <v>1979.24999999998</v>
      </c>
      <c r="J444" s="1">
        <v>1.0318523108181654</v>
      </c>
      <c r="L444" s="1">
        <f t="shared" si="49"/>
        <v>1.0051287086804743</v>
      </c>
      <c r="M444" s="1"/>
      <c r="N444" s="1"/>
      <c r="R444" s="7">
        <f t="shared" si="51"/>
        <v>-0.39051443784439865</v>
      </c>
      <c r="S444" s="7">
        <f t="shared" si="55"/>
        <v>-0.91206017557017693</v>
      </c>
      <c r="T444" s="7">
        <f t="shared" si="52"/>
        <v>0.22727475238993081</v>
      </c>
      <c r="V444" s="7">
        <f t="shared" si="53"/>
        <v>-0.35843328700821492</v>
      </c>
      <c r="AF444" s="7">
        <f t="shared" si="54"/>
        <v>-0.43965991107106495</v>
      </c>
    </row>
    <row r="445" spans="1:32" x14ac:dyDescent="0.35">
      <c r="A445" t="s">
        <v>38</v>
      </c>
      <c r="B445">
        <v>1979</v>
      </c>
      <c r="E445" s="7">
        <v>1979.1666666666499</v>
      </c>
      <c r="F445" s="1">
        <v>0.98594543868162599</v>
      </c>
      <c r="G445" s="7">
        <v>1979.1666666666499</v>
      </c>
      <c r="H445" s="1">
        <v>1.0010952851241521</v>
      </c>
      <c r="I445" s="7">
        <v>1979.1666666666499</v>
      </c>
      <c r="J445" s="1">
        <v>1.0398192186070552</v>
      </c>
      <c r="L445" s="1">
        <f t="shared" si="49"/>
        <v>1.008953314137611</v>
      </c>
      <c r="M445" s="1"/>
      <c r="N445" s="1"/>
      <c r="R445" s="7">
        <f t="shared" si="51"/>
        <v>-0.33654701721388169</v>
      </c>
      <c r="S445" s="7">
        <f t="shared" si="55"/>
        <v>-0.86292754636788094</v>
      </c>
      <c r="T445" s="7">
        <f t="shared" si="52"/>
        <v>0.47624401516783288</v>
      </c>
      <c r="V445" s="7">
        <f t="shared" si="53"/>
        <v>-0.24107684947130989</v>
      </c>
      <c r="AF445" s="7">
        <f t="shared" si="54"/>
        <v>-0.31128572418934836</v>
      </c>
    </row>
    <row r="446" spans="1:32" x14ac:dyDescent="0.35">
      <c r="A446" t="s">
        <v>36</v>
      </c>
      <c r="B446">
        <v>1979</v>
      </c>
      <c r="E446" s="7">
        <v>1979.0833333333101</v>
      </c>
      <c r="F446" s="1">
        <v>1.0064132818307401</v>
      </c>
      <c r="G446" s="7">
        <v>1979.0833333333101</v>
      </c>
      <c r="H446" s="1">
        <v>1.019861210548888</v>
      </c>
      <c r="I446" s="7">
        <v>1979.0833333333101</v>
      </c>
      <c r="J446" s="1">
        <v>1.0459028933064847</v>
      </c>
      <c r="L446" s="1">
        <f t="shared" si="49"/>
        <v>1.0240591285620375</v>
      </c>
      <c r="M446" s="1"/>
      <c r="N446" s="1"/>
      <c r="R446" s="7">
        <f t="shared" si="51"/>
        <v>0.29386128608476608</v>
      </c>
      <c r="S446" s="7">
        <f t="shared" si="55"/>
        <v>-0.33747544364622745</v>
      </c>
      <c r="T446" s="7">
        <f t="shared" si="52"/>
        <v>0.66636144153114396</v>
      </c>
      <c r="V446" s="7">
        <f t="shared" si="53"/>
        <v>0.20758242798989421</v>
      </c>
      <c r="AF446" s="7">
        <f t="shared" si="54"/>
        <v>0.19574609011278393</v>
      </c>
    </row>
    <row r="447" spans="1:32" x14ac:dyDescent="0.35">
      <c r="A447" t="s">
        <v>34</v>
      </c>
      <c r="B447">
        <v>1979</v>
      </c>
      <c r="E447" s="7">
        <v>1978.99999999998</v>
      </c>
      <c r="F447" s="1">
        <v>1.0266522356253818</v>
      </c>
      <c r="G447" s="7">
        <v>1978.99999999998</v>
      </c>
      <c r="H447" s="1">
        <v>1.0742037385202026</v>
      </c>
      <c r="I447" s="7">
        <v>1978.99999999998</v>
      </c>
      <c r="J447" s="1">
        <v>1.0757015429265355</v>
      </c>
      <c r="L447" s="1">
        <f t="shared" si="49"/>
        <v>1.0588525056907068</v>
      </c>
      <c r="M447" s="1"/>
      <c r="N447" s="1"/>
      <c r="R447" s="7">
        <f t="shared" si="51"/>
        <v>0.91721981141976372</v>
      </c>
      <c r="S447" s="7">
        <f t="shared" si="55"/>
        <v>1.1841332670064955</v>
      </c>
      <c r="T447" s="7">
        <f t="shared" si="52"/>
        <v>1.5975819381493126</v>
      </c>
      <c r="V447" s="7">
        <f t="shared" si="53"/>
        <v>1.2329783388585238</v>
      </c>
      <c r="AF447" s="7">
        <f t="shared" si="54"/>
        <v>1.3635976627311377</v>
      </c>
    </row>
    <row r="448" spans="1:32" x14ac:dyDescent="0.35">
      <c r="A448" t="s">
        <v>33</v>
      </c>
      <c r="B448">
        <v>1978</v>
      </c>
      <c r="E448" s="7">
        <v>1978.9166666666399</v>
      </c>
      <c r="F448" s="1">
        <v>1.0093085368710291</v>
      </c>
      <c r="G448" s="7">
        <v>1978.9166666666499</v>
      </c>
      <c r="H448" s="1">
        <v>1.1001016613481456</v>
      </c>
      <c r="I448" s="7">
        <v>1978.9166666666399</v>
      </c>
      <c r="J448" s="1">
        <v>1.0790267495641979</v>
      </c>
      <c r="L448" s="1">
        <f t="shared" si="49"/>
        <v>1.0628123159277909</v>
      </c>
      <c r="M448" s="1"/>
      <c r="N448" s="1"/>
      <c r="R448" s="7">
        <f t="shared" si="51"/>
        <v>0.3830349622883788</v>
      </c>
      <c r="S448" s="7">
        <f t="shared" si="55"/>
        <v>1.909283649844985</v>
      </c>
      <c r="T448" s="7">
        <f t="shared" si="52"/>
        <v>1.7014960623114486</v>
      </c>
      <c r="V448" s="7">
        <f t="shared" si="53"/>
        <v>1.3312715581482708</v>
      </c>
      <c r="AF448" s="7">
        <f t="shared" si="54"/>
        <v>1.4965100441750898</v>
      </c>
    </row>
    <row r="449" spans="1:32" x14ac:dyDescent="0.35">
      <c r="A449" t="s">
        <v>35</v>
      </c>
      <c r="B449">
        <v>1978</v>
      </c>
      <c r="E449" s="7">
        <v>1978.8333333333101</v>
      </c>
      <c r="F449" s="1">
        <v>1.0062977118508531</v>
      </c>
      <c r="G449" s="7">
        <v>1978.8333333333101</v>
      </c>
      <c r="H449" s="1">
        <v>1.1046122554043418</v>
      </c>
      <c r="I449" s="7">
        <v>1978.8333333333101</v>
      </c>
      <c r="J449" s="1">
        <v>1.073147155643527</v>
      </c>
      <c r="L449" s="1">
        <f t="shared" si="49"/>
        <v>1.0613523742995741</v>
      </c>
      <c r="M449" s="1"/>
      <c r="N449" s="1"/>
      <c r="R449" s="7">
        <f t="shared" si="51"/>
        <v>0.2903017378508852</v>
      </c>
      <c r="S449" s="7">
        <f t="shared" si="55"/>
        <v>2.0355817714515014</v>
      </c>
      <c r="T449" s="7">
        <f t="shared" si="52"/>
        <v>1.517756247234858</v>
      </c>
      <c r="V449" s="7">
        <f t="shared" si="53"/>
        <v>1.2812132521790816</v>
      </c>
      <c r="AF449" s="7">
        <f t="shared" si="54"/>
        <v>1.4475066053844603</v>
      </c>
    </row>
    <row r="450" spans="1:32" x14ac:dyDescent="0.35">
      <c r="A450" t="s">
        <v>37</v>
      </c>
      <c r="B450">
        <v>1978</v>
      </c>
      <c r="E450" s="7">
        <v>1978.74999999998</v>
      </c>
      <c r="F450" s="1">
        <v>1.0136888586637318</v>
      </c>
      <c r="G450" s="7">
        <v>1978.74999999998</v>
      </c>
      <c r="H450" s="1">
        <v>1.1033586791389216</v>
      </c>
      <c r="I450" s="7">
        <v>1978.74999999998</v>
      </c>
      <c r="J450" s="1">
        <v>1.0700148247183547</v>
      </c>
      <c r="L450" s="1">
        <f t="shared" si="49"/>
        <v>1.062354120840336</v>
      </c>
      <c r="M450" s="1"/>
      <c r="N450" s="1"/>
      <c r="R450" s="7">
        <f t="shared" si="51"/>
        <v>0.51794860263251818</v>
      </c>
      <c r="S450" s="7">
        <f t="shared" si="55"/>
        <v>2.0004812224682484</v>
      </c>
      <c r="T450" s="7">
        <f t="shared" si="52"/>
        <v>1.4198695712645257</v>
      </c>
      <c r="V450" s="7">
        <f t="shared" si="53"/>
        <v>1.3127664654550975</v>
      </c>
      <c r="AF450" s="7">
        <f t="shared" si="54"/>
        <v>1.4811305697575483</v>
      </c>
    </row>
    <row r="451" spans="1:32" x14ac:dyDescent="0.35">
      <c r="A451" t="s">
        <v>39</v>
      </c>
      <c r="B451">
        <v>1978</v>
      </c>
      <c r="E451" s="7">
        <v>1978.6666666666399</v>
      </c>
      <c r="F451" s="1">
        <v>1.0235441184607976</v>
      </c>
      <c r="G451" s="7">
        <v>1978.6666666666499</v>
      </c>
      <c r="H451" s="1">
        <v>1.0883103114746513</v>
      </c>
      <c r="I451" s="7">
        <v>1978.6666666666399</v>
      </c>
      <c r="J451" s="1">
        <v>1.0701077743383043</v>
      </c>
      <c r="L451" s="1">
        <f t="shared" si="49"/>
        <v>1.0606540680912511</v>
      </c>
      <c r="M451" s="1"/>
      <c r="N451" s="1"/>
      <c r="R451" s="7">
        <f t="shared" si="51"/>
        <v>0.82148999495086517</v>
      </c>
      <c r="S451" s="7">
        <f t="shared" si="55"/>
        <v>1.5791219634520808</v>
      </c>
      <c r="T451" s="7">
        <f t="shared" si="52"/>
        <v>1.4227742864899984</v>
      </c>
      <c r="V451" s="7">
        <f t="shared" si="53"/>
        <v>1.2744620816309815</v>
      </c>
      <c r="AF451" s="7">
        <f t="shared" si="54"/>
        <v>1.424067719284289</v>
      </c>
    </row>
    <row r="452" spans="1:32" x14ac:dyDescent="0.35">
      <c r="A452" t="s">
        <v>41</v>
      </c>
      <c r="B452">
        <v>1978</v>
      </c>
      <c r="E452" s="7">
        <v>1978.5833333333101</v>
      </c>
      <c r="F452" s="1">
        <v>1.0211380434285262</v>
      </c>
      <c r="G452" s="7">
        <v>1978.5833333333101</v>
      </c>
      <c r="H452" s="1">
        <v>1.0576612237512175</v>
      </c>
      <c r="I452" s="7">
        <v>1978.5833333333101</v>
      </c>
      <c r="J452" s="1">
        <v>1.0666147119528724</v>
      </c>
      <c r="L452" s="1">
        <f t="shared" si="49"/>
        <v>1.0484713263775387</v>
      </c>
      <c r="M452" s="1"/>
      <c r="N452" s="1"/>
      <c r="R452" s="7">
        <f t="shared" si="51"/>
        <v>0.74738303274419449</v>
      </c>
      <c r="S452" s="7">
        <f t="shared" si="55"/>
        <v>0.72093739614314611</v>
      </c>
      <c r="T452" s="7">
        <f t="shared" si="52"/>
        <v>1.3136145986935623</v>
      </c>
      <c r="V452" s="7">
        <f t="shared" si="53"/>
        <v>0.92731167586030094</v>
      </c>
      <c r="AF452" s="7">
        <f t="shared" si="54"/>
        <v>1.0151498376843788</v>
      </c>
    </row>
    <row r="453" spans="1:32" x14ac:dyDescent="0.35">
      <c r="A453" t="s">
        <v>43</v>
      </c>
      <c r="B453">
        <v>1978</v>
      </c>
      <c r="E453" s="7">
        <v>1978.49999999998</v>
      </c>
      <c r="F453" s="1">
        <v>1.022187688771351</v>
      </c>
      <c r="G453" s="7">
        <v>1978.49999999998</v>
      </c>
      <c r="H453" s="1">
        <v>1.0446813633776395</v>
      </c>
      <c r="I453" s="7">
        <v>1978.49999999998</v>
      </c>
      <c r="J453" s="1">
        <v>1.0597514846095732</v>
      </c>
      <c r="L453" s="1">
        <f t="shared" ref="L453:L516" si="56">AVERAGE(D453,F453,H453,J453)</f>
        <v>1.0422068455861879</v>
      </c>
      <c r="M453" s="1"/>
      <c r="N453" s="1"/>
      <c r="R453" s="7">
        <f t="shared" ref="R453:R516" si="57">STANDARDIZE(F453, AVERAGE($F$4:$F$747), _xlfn.STDEV.P($F$4:$F$747))</f>
        <v>0.77971204439504627</v>
      </c>
      <c r="S453" s="7">
        <f t="shared" si="55"/>
        <v>0.35749702366143421</v>
      </c>
      <c r="T453" s="7">
        <f t="shared" ref="T453:T516" si="58">STANDARDIZE(J453,AVERAGE($J$4:$J$795),_xlfn.STDEV.P($J$4:$J$795))</f>
        <v>1.0991358200736769</v>
      </c>
      <c r="V453" s="7">
        <f t="shared" ref="V453:V516" si="59">AVERAGE(Q453,R453,S453,T453)</f>
        <v>0.74544829604338581</v>
      </c>
      <c r="AF453" s="7">
        <f t="shared" ref="AF453:AF516" si="60">STANDARDIZE(L453,L$1,L$2)</f>
        <v>0.804880402878977</v>
      </c>
    </row>
    <row r="454" spans="1:32" x14ac:dyDescent="0.35">
      <c r="A454" t="s">
        <v>44</v>
      </c>
      <c r="B454">
        <v>1978</v>
      </c>
      <c r="E454" s="7">
        <v>1978.4166666666399</v>
      </c>
      <c r="F454" s="1">
        <v>1.0048343830681561</v>
      </c>
      <c r="G454" s="7">
        <v>1978.4166666666499</v>
      </c>
      <c r="H454" s="1">
        <v>1.0283008214089904</v>
      </c>
      <c r="I454" s="7">
        <v>1978.4166666666399</v>
      </c>
      <c r="J454" s="1">
        <v>1.0536560228426892</v>
      </c>
      <c r="L454" s="1">
        <f t="shared" si="56"/>
        <v>1.0289304091066118</v>
      </c>
      <c r="M454" s="1"/>
      <c r="N454" s="1"/>
      <c r="R454" s="7">
        <f t="shared" si="57"/>
        <v>0.24523130183339711</v>
      </c>
      <c r="S454" s="7">
        <f t="shared" si="55"/>
        <v>-0.10116355535811199</v>
      </c>
      <c r="T454" s="7">
        <f t="shared" si="58"/>
        <v>0.90865004283042228</v>
      </c>
      <c r="V454" s="7">
        <f t="shared" si="59"/>
        <v>0.3509059297685691</v>
      </c>
      <c r="AF454" s="7">
        <f t="shared" si="60"/>
        <v>0.35925228336353038</v>
      </c>
    </row>
    <row r="455" spans="1:32" x14ac:dyDescent="0.35">
      <c r="A455" t="s">
        <v>42</v>
      </c>
      <c r="B455">
        <v>1978</v>
      </c>
      <c r="E455" s="7">
        <v>1978.3333333333101</v>
      </c>
      <c r="F455" s="1">
        <v>0.9942200597124663</v>
      </c>
      <c r="G455" s="7">
        <v>1978.3333333333101</v>
      </c>
      <c r="H455" s="1">
        <v>1.0222718642884445</v>
      </c>
      <c r="I455" s="7">
        <v>1978.3333333333101</v>
      </c>
      <c r="J455" s="1">
        <v>1.0513677101089489</v>
      </c>
      <c r="L455" s="1">
        <f t="shared" si="56"/>
        <v>1.0226198780366198</v>
      </c>
      <c r="M455" s="1"/>
      <c r="N455" s="1"/>
      <c r="R455" s="7">
        <f t="shared" si="57"/>
        <v>-8.1689201151463373E-2</v>
      </c>
      <c r="S455" s="7">
        <f t="shared" si="55"/>
        <v>-0.2699763436703671</v>
      </c>
      <c r="T455" s="7">
        <f t="shared" si="58"/>
        <v>0.83713929494413297</v>
      </c>
      <c r="V455" s="7">
        <f t="shared" si="59"/>
        <v>0.16182458337410083</v>
      </c>
      <c r="AF455" s="7">
        <f t="shared" si="60"/>
        <v>0.1474371552460996</v>
      </c>
    </row>
    <row r="456" spans="1:32" x14ac:dyDescent="0.35">
      <c r="A456" t="s">
        <v>40</v>
      </c>
      <c r="B456">
        <v>1978</v>
      </c>
      <c r="E456" s="7">
        <v>1978.24999999998</v>
      </c>
      <c r="F456" s="1">
        <v>0.9826878681812895</v>
      </c>
      <c r="G456" s="7">
        <v>1978.24999999998</v>
      </c>
      <c r="H456" s="1">
        <v>1.011554605492057</v>
      </c>
      <c r="I456" s="7">
        <v>1978.24999999998</v>
      </c>
      <c r="J456" s="1">
        <v>1.0474386654218573</v>
      </c>
      <c r="L456" s="1">
        <f t="shared" si="56"/>
        <v>1.0138937130317347</v>
      </c>
      <c r="M456" s="1"/>
      <c r="N456" s="1"/>
      <c r="R456" s="7">
        <f t="shared" si="57"/>
        <v>-0.43687998718203069</v>
      </c>
      <c r="S456" s="7">
        <f t="shared" si="55"/>
        <v>-0.57006312556448302</v>
      </c>
      <c r="T456" s="7">
        <f t="shared" si="58"/>
        <v>0.71435497446651852</v>
      </c>
      <c r="V456" s="7">
        <f t="shared" si="59"/>
        <v>-9.7529379426665022E-2</v>
      </c>
      <c r="AF456" s="7">
        <f t="shared" si="60"/>
        <v>-0.14545954995717825</v>
      </c>
    </row>
    <row r="457" spans="1:32" x14ac:dyDescent="0.35">
      <c r="A457" t="s">
        <v>38</v>
      </c>
      <c r="B457">
        <v>1978</v>
      </c>
      <c r="E457" s="7">
        <v>1978.1666666666399</v>
      </c>
      <c r="F457" s="1">
        <v>0.98493662243493341</v>
      </c>
      <c r="G457" s="7">
        <v>1978.1666666666499</v>
      </c>
      <c r="H457" s="1">
        <v>1.0115579034647448</v>
      </c>
      <c r="I457" s="7">
        <v>1978.1666666666399</v>
      </c>
      <c r="J457" s="1">
        <v>1.0516663003219768</v>
      </c>
      <c r="L457" s="1">
        <f t="shared" si="56"/>
        <v>1.0160536087405516</v>
      </c>
      <c r="M457" s="1"/>
      <c r="N457" s="1"/>
      <c r="R457" s="7">
        <f t="shared" si="57"/>
        <v>-0.36761849522865753</v>
      </c>
      <c r="S457" s="7">
        <f t="shared" si="55"/>
        <v>-0.56997078124123124</v>
      </c>
      <c r="T457" s="7">
        <f t="shared" si="58"/>
        <v>0.84647036631839034</v>
      </c>
      <c r="V457" s="7">
        <f t="shared" si="59"/>
        <v>-3.0372970050499475E-2</v>
      </c>
      <c r="AF457" s="7">
        <f t="shared" si="60"/>
        <v>-7.2961913671247922E-2</v>
      </c>
    </row>
    <row r="458" spans="1:32" x14ac:dyDescent="0.35">
      <c r="A458" t="s">
        <v>36</v>
      </c>
      <c r="B458">
        <v>1978</v>
      </c>
      <c r="E458" s="7">
        <v>1978.0833333333101</v>
      </c>
      <c r="F458" s="1">
        <v>0.99352248908500074</v>
      </c>
      <c r="G458" s="7">
        <v>1978.0833333333101</v>
      </c>
      <c r="H458" s="1">
        <v>1.0337995463619938</v>
      </c>
      <c r="I458" s="7">
        <v>1978.0833333333101</v>
      </c>
      <c r="J458" s="1">
        <v>1.0614282388107319</v>
      </c>
      <c r="L458" s="1">
        <f t="shared" si="56"/>
        <v>1.0295834247525755</v>
      </c>
      <c r="M458" s="1"/>
      <c r="N458" s="1"/>
      <c r="R458" s="7">
        <f t="shared" si="57"/>
        <v>-0.10317433334090809</v>
      </c>
      <c r="S458" s="7">
        <f t="shared" si="55"/>
        <v>5.2802557340768289E-2</v>
      </c>
      <c r="T458" s="7">
        <f t="shared" si="58"/>
        <v>1.1515351032565935</v>
      </c>
      <c r="V458" s="7">
        <f t="shared" si="59"/>
        <v>0.36705444241881785</v>
      </c>
      <c r="AF458" s="7">
        <f t="shared" si="60"/>
        <v>0.38117097628784113</v>
      </c>
    </row>
    <row r="459" spans="1:32" x14ac:dyDescent="0.35">
      <c r="A459" t="s">
        <v>34</v>
      </c>
      <c r="B459">
        <v>1978</v>
      </c>
      <c r="E459" s="7">
        <v>1977.99999999998</v>
      </c>
      <c r="F459" s="1">
        <v>1.0075525468129765</v>
      </c>
      <c r="G459" s="7">
        <v>1977.99999999998</v>
      </c>
      <c r="H459" s="1">
        <v>1.0805939269880864</v>
      </c>
      <c r="I459" s="7">
        <v>1977.99999999998</v>
      </c>
      <c r="J459" s="1">
        <v>1.0689205566739879</v>
      </c>
      <c r="L459" s="1">
        <f t="shared" si="56"/>
        <v>1.0523556768250169</v>
      </c>
      <c r="M459" s="1"/>
      <c r="N459" s="1"/>
      <c r="R459" s="7">
        <f t="shared" si="57"/>
        <v>0.32895057708757913</v>
      </c>
      <c r="S459" s="7">
        <f t="shared" si="55"/>
        <v>1.3630606522134787</v>
      </c>
      <c r="T459" s="7">
        <f t="shared" si="58"/>
        <v>1.3856732286549927</v>
      </c>
      <c r="V459" s="7">
        <f t="shared" si="59"/>
        <v>1.0258948193186834</v>
      </c>
      <c r="AF459" s="7">
        <f t="shared" si="60"/>
        <v>1.1455293855481092</v>
      </c>
    </row>
    <row r="460" spans="1:32" x14ac:dyDescent="0.35">
      <c r="A460" t="s">
        <v>33</v>
      </c>
      <c r="B460">
        <v>1977</v>
      </c>
      <c r="E460" s="7">
        <v>1977.9166666666399</v>
      </c>
      <c r="F460" s="1">
        <v>1.0106303081456101</v>
      </c>
      <c r="G460" s="7">
        <v>1977.9166666666399</v>
      </c>
      <c r="H460" s="1">
        <v>1.0938237550632639</v>
      </c>
      <c r="I460" s="7">
        <v>1977.9166666666399</v>
      </c>
      <c r="J460" s="1">
        <v>1.075191467108751</v>
      </c>
      <c r="L460" s="1">
        <f t="shared" si="56"/>
        <v>1.0598818434392083</v>
      </c>
      <c r="M460" s="1"/>
      <c r="N460" s="1"/>
      <c r="R460" s="7">
        <f t="shared" si="57"/>
        <v>0.42374543580955015</v>
      </c>
      <c r="S460" s="7">
        <f t="shared" si="55"/>
        <v>1.7335002028036575</v>
      </c>
      <c r="T460" s="7">
        <f t="shared" si="58"/>
        <v>1.5816418515210047</v>
      </c>
      <c r="V460" s="7">
        <f t="shared" si="59"/>
        <v>1.2462958300447375</v>
      </c>
      <c r="AF460" s="7">
        <f t="shared" si="60"/>
        <v>1.3981477354043779</v>
      </c>
    </row>
    <row r="461" spans="1:32" x14ac:dyDescent="0.35">
      <c r="A461" t="s">
        <v>35</v>
      </c>
      <c r="B461">
        <v>1977</v>
      </c>
      <c r="E461" s="7">
        <v>1977.8333333333101</v>
      </c>
      <c r="F461" s="1">
        <v>1.0090491464813711</v>
      </c>
      <c r="G461" s="7">
        <v>1977.8333333333101</v>
      </c>
      <c r="H461" s="1">
        <v>1.0779874471204751</v>
      </c>
      <c r="I461" s="7">
        <v>1977.8333333333101</v>
      </c>
      <c r="J461" s="1">
        <v>1.0692303683646793</v>
      </c>
      <c r="L461" s="1">
        <f t="shared" si="56"/>
        <v>1.0520889873221753</v>
      </c>
      <c r="M461" s="1"/>
      <c r="N461" s="1"/>
      <c r="R461" s="7">
        <f t="shared" si="57"/>
        <v>0.37504575432714249</v>
      </c>
      <c r="S461" s="7">
        <f t="shared" si="55"/>
        <v>1.2900783560495634</v>
      </c>
      <c r="T461" s="7">
        <f t="shared" si="58"/>
        <v>1.3953549759872499</v>
      </c>
      <c r="V461" s="7">
        <f t="shared" si="59"/>
        <v>1.0201596954546519</v>
      </c>
      <c r="AF461" s="7">
        <f t="shared" si="60"/>
        <v>1.1365778614076796</v>
      </c>
    </row>
    <row r="462" spans="1:32" x14ac:dyDescent="0.35">
      <c r="A462" t="s">
        <v>37</v>
      </c>
      <c r="B462">
        <v>1977</v>
      </c>
      <c r="E462" s="7">
        <v>1977.74999999998</v>
      </c>
      <c r="F462" s="1">
        <v>1.0114325909844673</v>
      </c>
      <c r="G462" s="7">
        <v>1977.74999999998</v>
      </c>
      <c r="H462" s="1">
        <v>1.0604899025459467</v>
      </c>
      <c r="I462" s="7">
        <v>1977.74999999998</v>
      </c>
      <c r="J462" s="1">
        <v>1.0635492985759898</v>
      </c>
      <c r="L462" s="1">
        <f t="shared" si="56"/>
        <v>1.0451572640354678</v>
      </c>
      <c r="M462" s="1"/>
      <c r="N462" s="1"/>
      <c r="R462" s="7">
        <f t="shared" si="57"/>
        <v>0.4484556976346451</v>
      </c>
      <c r="S462" s="7">
        <f t="shared" si="55"/>
        <v>0.80014133556919764</v>
      </c>
      <c r="T462" s="7">
        <f t="shared" si="58"/>
        <v>1.217819124618126</v>
      </c>
      <c r="V462" s="7">
        <f t="shared" si="59"/>
        <v>0.82213871927398952</v>
      </c>
      <c r="AF462" s="7">
        <f t="shared" si="60"/>
        <v>0.90391220462479172</v>
      </c>
    </row>
    <row r="463" spans="1:32" x14ac:dyDescent="0.35">
      <c r="A463" t="s">
        <v>39</v>
      </c>
      <c r="B463">
        <v>1977</v>
      </c>
      <c r="E463" s="7">
        <v>1977.6666666666399</v>
      </c>
      <c r="F463" s="1">
        <v>1.0123741483914031</v>
      </c>
      <c r="G463" s="7">
        <v>1977.6666666666399</v>
      </c>
      <c r="H463" s="1">
        <v>1.0504231494629492</v>
      </c>
      <c r="I463" s="7">
        <v>1977.6666666666399</v>
      </c>
      <c r="J463" s="1">
        <v>1.054495854080082</v>
      </c>
      <c r="L463" s="1">
        <f t="shared" si="56"/>
        <v>1.0390977173114782</v>
      </c>
      <c r="M463" s="1"/>
      <c r="N463" s="1"/>
      <c r="R463" s="7">
        <f t="shared" si="57"/>
        <v>0.47745560754407607</v>
      </c>
      <c r="S463" s="7">
        <f t="shared" si="55"/>
        <v>0.51826892825011472</v>
      </c>
      <c r="T463" s="7">
        <f t="shared" si="58"/>
        <v>0.93489512681684805</v>
      </c>
      <c r="V463" s="7">
        <f t="shared" si="59"/>
        <v>0.64353988753701297</v>
      </c>
      <c r="AF463" s="7">
        <f t="shared" si="60"/>
        <v>0.70052145170087765</v>
      </c>
    </row>
    <row r="464" spans="1:32" x14ac:dyDescent="0.35">
      <c r="A464" t="s">
        <v>41</v>
      </c>
      <c r="B464">
        <v>1977</v>
      </c>
      <c r="E464" s="7">
        <v>1977.5833333333101</v>
      </c>
      <c r="F464" s="1">
        <v>1.00843681668018</v>
      </c>
      <c r="G464" s="7">
        <v>1977.5833333333101</v>
      </c>
      <c r="H464" s="1">
        <v>1.0361922960829502</v>
      </c>
      <c r="I464" s="7">
        <v>1977.5833333333101</v>
      </c>
      <c r="J464" s="1">
        <v>1.0402746431528778</v>
      </c>
      <c r="L464" s="1">
        <f t="shared" si="56"/>
        <v>1.0283012519720025</v>
      </c>
      <c r="M464" s="1"/>
      <c r="N464" s="1"/>
      <c r="R464" s="7">
        <f t="shared" si="57"/>
        <v>0.35618603431581458</v>
      </c>
      <c r="S464" s="7">
        <f t="shared" ref="S464:S527" si="61">STANDARDIZE(H464, AVERAGE($H$4:$H$891), _xlfn.STDEV.P($H$4:$H$891))</f>
        <v>0.1198003388893366</v>
      </c>
      <c r="T464" s="7">
        <f t="shared" si="58"/>
        <v>0.4904762262626487</v>
      </c>
      <c r="V464" s="7">
        <f t="shared" si="59"/>
        <v>0.32215419982259996</v>
      </c>
      <c r="AF464" s="7">
        <f t="shared" si="60"/>
        <v>0.33813440951183943</v>
      </c>
    </row>
    <row r="465" spans="1:32" x14ac:dyDescent="0.35">
      <c r="A465" t="s">
        <v>43</v>
      </c>
      <c r="B465">
        <v>1977</v>
      </c>
      <c r="E465" s="7">
        <v>1977.49999999998</v>
      </c>
      <c r="F465" s="1">
        <v>1.0028487146763534</v>
      </c>
      <c r="G465" s="7">
        <v>1977.49999999998</v>
      </c>
      <c r="H465" s="1">
        <v>1.0266138545169494</v>
      </c>
      <c r="I465" s="7">
        <v>1977.49999999998</v>
      </c>
      <c r="J465" s="1">
        <v>1.038930212399171</v>
      </c>
      <c r="L465" s="1">
        <f t="shared" si="56"/>
        <v>1.0227975938641578</v>
      </c>
      <c r="M465" s="1"/>
      <c r="N465" s="1"/>
      <c r="R465" s="7">
        <f t="shared" si="57"/>
        <v>0.18407283815598352</v>
      </c>
      <c r="S465" s="7">
        <f t="shared" si="61"/>
        <v>-0.14839918486116421</v>
      </c>
      <c r="T465" s="7">
        <f t="shared" si="58"/>
        <v>0.44846219240209789</v>
      </c>
      <c r="V465" s="7">
        <f t="shared" si="59"/>
        <v>0.16137861523230573</v>
      </c>
      <c r="AF465" s="7">
        <f t="shared" si="60"/>
        <v>0.15340224762278692</v>
      </c>
    </row>
    <row r="466" spans="1:32" x14ac:dyDescent="0.35">
      <c r="A466" t="s">
        <v>44</v>
      </c>
      <c r="B466">
        <v>1977</v>
      </c>
      <c r="E466" s="7">
        <v>1977.4166666666399</v>
      </c>
      <c r="F466" s="1">
        <v>0.99655963849724738</v>
      </c>
      <c r="G466" s="7">
        <v>1977.4166666666399</v>
      </c>
      <c r="H466" s="1">
        <v>1.0245044591157049</v>
      </c>
      <c r="I466" s="7">
        <v>1977.4166666666399</v>
      </c>
      <c r="J466" s="1">
        <v>1.0317529118330135</v>
      </c>
      <c r="L466" s="1">
        <f t="shared" si="56"/>
        <v>1.017605669815322</v>
      </c>
      <c r="M466" s="1"/>
      <c r="N466" s="1"/>
      <c r="R466" s="7">
        <f t="shared" si="57"/>
        <v>-9.6303192554883389E-3</v>
      </c>
      <c r="S466" s="7">
        <f t="shared" si="61"/>
        <v>-0.20746295197996248</v>
      </c>
      <c r="T466" s="7">
        <f t="shared" si="58"/>
        <v>0.22416849175407333</v>
      </c>
      <c r="V466" s="7">
        <f t="shared" si="59"/>
        <v>2.3584068395408331E-3</v>
      </c>
      <c r="AF466" s="7">
        <f t="shared" si="60"/>
        <v>-2.0866454231734433E-2</v>
      </c>
    </row>
    <row r="467" spans="1:32" x14ac:dyDescent="0.35">
      <c r="A467" t="s">
        <v>42</v>
      </c>
      <c r="B467">
        <v>1977</v>
      </c>
      <c r="E467" s="7">
        <v>1977.3333333333101</v>
      </c>
      <c r="F467" s="1">
        <v>0.98752331481770383</v>
      </c>
      <c r="G467" s="7">
        <v>1977.3333333333101</v>
      </c>
      <c r="H467" s="1">
        <v>1.0209628464641791</v>
      </c>
      <c r="I467" s="7">
        <v>1977.3333333333101</v>
      </c>
      <c r="J467" s="1">
        <v>1.0282852650422514</v>
      </c>
      <c r="L467" s="1">
        <f t="shared" si="56"/>
        <v>1.0122571421080446</v>
      </c>
      <c r="M467" s="1"/>
      <c r="N467" s="1"/>
      <c r="R467" s="7">
        <f t="shared" si="57"/>
        <v>-0.28794852979566454</v>
      </c>
      <c r="S467" s="7">
        <f t="shared" si="61"/>
        <v>-0.3066292745913084</v>
      </c>
      <c r="T467" s="7">
        <f t="shared" si="58"/>
        <v>0.11580305211961667</v>
      </c>
      <c r="V467" s="7">
        <f t="shared" si="59"/>
        <v>-0.15959158408911875</v>
      </c>
      <c r="AF467" s="7">
        <f t="shared" si="60"/>
        <v>-0.20039161130508523</v>
      </c>
    </row>
    <row r="468" spans="1:32" x14ac:dyDescent="0.35">
      <c r="A468" t="s">
        <v>40</v>
      </c>
      <c r="B468">
        <v>1977</v>
      </c>
      <c r="E468" s="7">
        <v>1977.24999999997</v>
      </c>
      <c r="F468" s="1">
        <v>0.98148449309942221</v>
      </c>
      <c r="G468" s="7">
        <v>1977.24999999998</v>
      </c>
      <c r="H468" s="1">
        <v>1.012389597802017</v>
      </c>
      <c r="I468" s="7">
        <v>1977.24999999997</v>
      </c>
      <c r="J468" s="1">
        <v>1.0237823785967619</v>
      </c>
      <c r="L468" s="1">
        <f t="shared" si="56"/>
        <v>1.0058854898327336</v>
      </c>
      <c r="M468" s="1"/>
      <c r="N468" s="1"/>
      <c r="R468" s="7">
        <f t="shared" si="57"/>
        <v>-0.47394386528902455</v>
      </c>
      <c r="S468" s="7">
        <f t="shared" si="61"/>
        <v>-0.54668306542385403</v>
      </c>
      <c r="T468" s="7">
        <f t="shared" si="58"/>
        <v>-2.4914067798542945E-2</v>
      </c>
      <c r="V468" s="7">
        <f t="shared" si="59"/>
        <v>-0.3485136661704738</v>
      </c>
      <c r="AF468" s="7">
        <f t="shared" si="60"/>
        <v>-0.41425829352972809</v>
      </c>
    </row>
    <row r="469" spans="1:32" x14ac:dyDescent="0.35">
      <c r="A469" t="s">
        <v>38</v>
      </c>
      <c r="B469">
        <v>1977</v>
      </c>
      <c r="E469" s="7">
        <v>1977.1666666666399</v>
      </c>
      <c r="F469" s="1">
        <v>0.98191425950823497</v>
      </c>
      <c r="G469" s="7">
        <v>1977.1666666666399</v>
      </c>
      <c r="H469" s="1">
        <v>1.0081871037720891</v>
      </c>
      <c r="I469" s="7">
        <v>1977.1666666666399</v>
      </c>
      <c r="J469" s="1">
        <v>1.023207860659334</v>
      </c>
      <c r="L469" s="1">
        <f t="shared" si="56"/>
        <v>1.0044364079798862</v>
      </c>
      <c r="M469" s="1"/>
      <c r="N469" s="1"/>
      <c r="R469" s="7">
        <f t="shared" si="57"/>
        <v>-0.46070708647356196</v>
      </c>
      <c r="S469" s="7">
        <f t="shared" si="61"/>
        <v>-0.66435428465347479</v>
      </c>
      <c r="T469" s="7">
        <f t="shared" si="58"/>
        <v>-4.2867998121871163E-2</v>
      </c>
      <c r="V469" s="7">
        <f t="shared" si="59"/>
        <v>-0.38930978974963598</v>
      </c>
      <c r="AF469" s="7">
        <f t="shared" si="60"/>
        <v>-0.4628972202554163</v>
      </c>
    </row>
    <row r="470" spans="1:32" x14ac:dyDescent="0.35">
      <c r="A470" t="s">
        <v>36</v>
      </c>
      <c r="B470">
        <v>1977</v>
      </c>
      <c r="E470" s="7">
        <v>1977.0833333333101</v>
      </c>
      <c r="F470" s="1">
        <v>0.98739616845003919</v>
      </c>
      <c r="G470" s="7">
        <v>1977.0833333333101</v>
      </c>
      <c r="H470" s="1">
        <v>1.0219166053808779</v>
      </c>
      <c r="I470" s="7">
        <v>1977.0833333333101</v>
      </c>
      <c r="J470" s="1">
        <v>1.0461635740926174</v>
      </c>
      <c r="L470" s="1">
        <f t="shared" si="56"/>
        <v>1.0184921159745115</v>
      </c>
      <c r="M470" s="1"/>
      <c r="N470" s="1"/>
      <c r="R470" s="7">
        <f t="shared" si="57"/>
        <v>-0.29186463005723623</v>
      </c>
      <c r="S470" s="7">
        <f t="shared" si="61"/>
        <v>-0.27992371028120377</v>
      </c>
      <c r="T470" s="7">
        <f t="shared" si="58"/>
        <v>0.67450782716326296</v>
      </c>
      <c r="V470" s="7">
        <f t="shared" si="59"/>
        <v>3.4239828941607632E-2</v>
      </c>
      <c r="AF470" s="7">
        <f t="shared" si="60"/>
        <v>8.8874135006960994E-3</v>
      </c>
    </row>
    <row r="471" spans="1:32" x14ac:dyDescent="0.35">
      <c r="A471" t="s">
        <v>34</v>
      </c>
      <c r="B471">
        <v>1977</v>
      </c>
      <c r="E471" s="7">
        <v>1976.99999999997</v>
      </c>
      <c r="F471" s="1">
        <v>0.99819845515153349</v>
      </c>
      <c r="G471" s="7">
        <v>1976.99999999998</v>
      </c>
      <c r="H471" s="1">
        <v>1.0381274572378474</v>
      </c>
      <c r="I471" s="7">
        <v>1976.99999999997</v>
      </c>
      <c r="J471" s="1">
        <v>1.0561646426641396</v>
      </c>
      <c r="L471" s="1">
        <f t="shared" si="56"/>
        <v>1.0308301850178401</v>
      </c>
      <c r="M471" s="1"/>
      <c r="N471" s="1"/>
      <c r="R471" s="7">
        <f t="shared" si="57"/>
        <v>4.0845132355092885E-2</v>
      </c>
      <c r="S471" s="7">
        <f t="shared" si="61"/>
        <v>0.17398548963099378</v>
      </c>
      <c r="T471" s="7">
        <f t="shared" si="58"/>
        <v>0.98704548107153212</v>
      </c>
      <c r="V471" s="7">
        <f t="shared" si="59"/>
        <v>0.40062536768587292</v>
      </c>
      <c r="AF471" s="7">
        <f t="shared" si="60"/>
        <v>0.42301890990701235</v>
      </c>
    </row>
    <row r="472" spans="1:32" x14ac:dyDescent="0.35">
      <c r="A472" t="s">
        <v>33</v>
      </c>
      <c r="B472">
        <v>1976</v>
      </c>
      <c r="E472" s="7">
        <v>1976.9166666666399</v>
      </c>
      <c r="F472" s="1">
        <v>1.0155134376618797</v>
      </c>
      <c r="G472" s="7">
        <v>1976.9166666666399</v>
      </c>
      <c r="H472" s="1">
        <v>1.037769064248856</v>
      </c>
      <c r="I472" s="7">
        <v>1976.9166666666399</v>
      </c>
      <c r="J472" s="1">
        <v>1.0673646644291372</v>
      </c>
      <c r="L472" s="1">
        <f t="shared" si="56"/>
        <v>1.0402157221132908</v>
      </c>
      <c r="M472" s="1"/>
      <c r="N472" s="1"/>
      <c r="R472" s="7">
        <f t="shared" si="57"/>
        <v>0.57414552294683874</v>
      </c>
      <c r="S472" s="7">
        <f t="shared" si="61"/>
        <v>0.16395036770633678</v>
      </c>
      <c r="T472" s="7">
        <f t="shared" si="58"/>
        <v>1.3370509331010607</v>
      </c>
      <c r="V472" s="7">
        <f t="shared" si="59"/>
        <v>0.69171560791807873</v>
      </c>
      <c r="AF472" s="7">
        <f t="shared" si="60"/>
        <v>0.73804766426608326</v>
      </c>
    </row>
    <row r="473" spans="1:32" x14ac:dyDescent="0.35">
      <c r="A473" t="s">
        <v>35</v>
      </c>
      <c r="B473">
        <v>1976</v>
      </c>
      <c r="E473" s="7">
        <v>1976.8333333333101</v>
      </c>
      <c r="F473" s="1">
        <v>1.0131616195811701</v>
      </c>
      <c r="G473" s="7">
        <v>1976.8333333333101</v>
      </c>
      <c r="H473" s="1">
        <v>1.0266540154164525</v>
      </c>
      <c r="I473" s="7">
        <v>1976.8333333333101</v>
      </c>
      <c r="J473" s="1">
        <v>1.0605947310468395</v>
      </c>
      <c r="L473" s="1">
        <f t="shared" si="56"/>
        <v>1.0334701220148206</v>
      </c>
      <c r="M473" s="1"/>
      <c r="N473" s="1"/>
      <c r="R473" s="7">
        <f t="shared" si="57"/>
        <v>0.50170967149312073</v>
      </c>
      <c r="S473" s="7">
        <f t="shared" si="61"/>
        <v>-0.14727466642610329</v>
      </c>
      <c r="T473" s="7">
        <f t="shared" si="58"/>
        <v>1.1254876305112294</v>
      </c>
      <c r="V473" s="7">
        <f t="shared" si="59"/>
        <v>0.49330754519274889</v>
      </c>
      <c r="AF473" s="7">
        <f t="shared" si="60"/>
        <v>0.5116292957898092</v>
      </c>
    </row>
    <row r="474" spans="1:32" x14ac:dyDescent="0.35">
      <c r="A474" t="s">
        <v>37</v>
      </c>
      <c r="B474">
        <v>1976</v>
      </c>
      <c r="E474" s="7">
        <v>1976.74999999997</v>
      </c>
      <c r="F474" s="1">
        <v>1.0046033547548134</v>
      </c>
      <c r="G474" s="7">
        <v>1976.74999999998</v>
      </c>
      <c r="H474" s="1">
        <v>1.0390045992360697</v>
      </c>
      <c r="I474" s="7">
        <v>1976.74999999997</v>
      </c>
      <c r="J474" s="1">
        <v>1.0517174147743122</v>
      </c>
      <c r="L474" s="1">
        <f t="shared" si="56"/>
        <v>1.0317751229217318</v>
      </c>
      <c r="M474" s="1"/>
      <c r="N474" s="1"/>
      <c r="R474" s="7">
        <f t="shared" si="57"/>
        <v>0.23811564406881272</v>
      </c>
      <c r="S474" s="7">
        <f t="shared" si="61"/>
        <v>0.19854575494803831</v>
      </c>
      <c r="T474" s="7">
        <f t="shared" si="58"/>
        <v>0.84806771473165932</v>
      </c>
      <c r="V474" s="7">
        <f t="shared" si="59"/>
        <v>0.42824303791617013</v>
      </c>
      <c r="AF474" s="7">
        <f t="shared" si="60"/>
        <v>0.45473607300404689</v>
      </c>
    </row>
    <row r="475" spans="1:32" x14ac:dyDescent="0.35">
      <c r="A475" t="s">
        <v>39</v>
      </c>
      <c r="B475">
        <v>1976</v>
      </c>
      <c r="E475" s="7">
        <v>1976.6666666666399</v>
      </c>
      <c r="F475" s="1">
        <v>0.9891982000233589</v>
      </c>
      <c r="G475" s="7">
        <v>1976.6666666666399</v>
      </c>
      <c r="H475" s="1">
        <v>1.0649937572624881</v>
      </c>
      <c r="I475" s="7">
        <v>1976.6666666666399</v>
      </c>
      <c r="J475" s="1">
        <v>1.0468724649890426</v>
      </c>
      <c r="L475" s="1">
        <f t="shared" si="56"/>
        <v>1.0336881407582965</v>
      </c>
      <c r="M475" s="1"/>
      <c r="N475" s="1"/>
      <c r="R475" s="7">
        <f t="shared" si="57"/>
        <v>-0.23636216903333304</v>
      </c>
      <c r="S475" s="7">
        <f t="shared" si="61"/>
        <v>0.92625075344208996</v>
      </c>
      <c r="T475" s="7">
        <f t="shared" si="58"/>
        <v>0.69666096970610536</v>
      </c>
      <c r="V475" s="7">
        <f t="shared" si="59"/>
        <v>0.46218318470495406</v>
      </c>
      <c r="AF475" s="7">
        <f t="shared" si="60"/>
        <v>0.51894716928875295</v>
      </c>
    </row>
    <row r="476" spans="1:32" x14ac:dyDescent="0.35">
      <c r="A476" t="s">
        <v>41</v>
      </c>
      <c r="B476">
        <v>1976</v>
      </c>
      <c r="E476" s="7">
        <v>1976.5833333333101</v>
      </c>
      <c r="F476" s="1">
        <v>0.98773484496643127</v>
      </c>
      <c r="G476" s="7">
        <v>1976.5833333333101</v>
      </c>
      <c r="H476" s="1">
        <v>1.0686443994665453</v>
      </c>
      <c r="I476" s="7">
        <v>1976.5833333333101</v>
      </c>
      <c r="J476" s="1">
        <v>1.053092912187882</v>
      </c>
      <c r="L476" s="1">
        <f t="shared" si="56"/>
        <v>1.0364907188736197</v>
      </c>
      <c r="M476" s="1"/>
      <c r="N476" s="1"/>
      <c r="R476" s="7">
        <f t="shared" si="57"/>
        <v>-0.2814334142954979</v>
      </c>
      <c r="S476" s="7">
        <f t="shared" si="61"/>
        <v>1.0284699394928767</v>
      </c>
      <c r="T476" s="7">
        <f t="shared" si="58"/>
        <v>0.89105259494917044</v>
      </c>
      <c r="V476" s="7">
        <f t="shared" si="59"/>
        <v>0.54602970671551632</v>
      </c>
      <c r="AF476" s="7">
        <f t="shared" si="60"/>
        <v>0.61301665979155928</v>
      </c>
    </row>
    <row r="477" spans="1:32" x14ac:dyDescent="0.35">
      <c r="A477" t="s">
        <v>43</v>
      </c>
      <c r="B477">
        <v>1976</v>
      </c>
      <c r="E477" s="7">
        <v>1976.49999999997</v>
      </c>
      <c r="F477" s="1">
        <v>0.99014643433655836</v>
      </c>
      <c r="G477" s="7">
        <v>1976.49999999998</v>
      </c>
      <c r="H477" s="1">
        <v>1.0769355636399149</v>
      </c>
      <c r="I477" s="7">
        <v>1976.49999999997</v>
      </c>
      <c r="J477" s="1">
        <v>1.0585847757908458</v>
      </c>
      <c r="L477" s="1">
        <f t="shared" si="56"/>
        <v>1.0418889245891065</v>
      </c>
      <c r="M477" s="1"/>
      <c r="N477" s="1"/>
      <c r="R477" s="7">
        <f t="shared" si="57"/>
        <v>-0.2071566108238691</v>
      </c>
      <c r="S477" s="7">
        <f t="shared" si="61"/>
        <v>1.2606252715803068</v>
      </c>
      <c r="T477" s="7">
        <f t="shared" si="58"/>
        <v>1.0626756724013087</v>
      </c>
      <c r="V477" s="7">
        <f t="shared" si="59"/>
        <v>0.70538144438591532</v>
      </c>
      <c r="AF477" s="7">
        <f t="shared" si="60"/>
        <v>0.79420927615745041</v>
      </c>
    </row>
    <row r="478" spans="1:32" x14ac:dyDescent="0.35">
      <c r="A478" t="s">
        <v>44</v>
      </c>
      <c r="B478">
        <v>1976</v>
      </c>
      <c r="E478" s="7">
        <v>1976.4166666666399</v>
      </c>
      <c r="F478" s="1">
        <v>0.99071016450638882</v>
      </c>
      <c r="G478" s="7">
        <v>1976.4166666666399</v>
      </c>
      <c r="H478" s="1">
        <v>1.0628088079939157</v>
      </c>
      <c r="I478" s="7">
        <v>1976.4166666666399</v>
      </c>
      <c r="J478" s="1">
        <v>1.0446770882965126</v>
      </c>
      <c r="L478" s="1">
        <f t="shared" si="56"/>
        <v>1.0327320202656056</v>
      </c>
      <c r="M478" s="1"/>
      <c r="N478" s="1"/>
      <c r="R478" s="7">
        <f t="shared" si="57"/>
        <v>-0.18979375645313559</v>
      </c>
      <c r="S478" s="7">
        <f t="shared" si="61"/>
        <v>0.86507145311309197</v>
      </c>
      <c r="T478" s="7">
        <f t="shared" si="58"/>
        <v>0.62805451270390189</v>
      </c>
      <c r="V478" s="7">
        <f t="shared" si="59"/>
        <v>0.4344440697879528</v>
      </c>
      <c r="AF478" s="7">
        <f t="shared" si="60"/>
        <v>0.48685465878388379</v>
      </c>
    </row>
    <row r="479" spans="1:32" x14ac:dyDescent="0.35">
      <c r="A479" t="s">
        <v>42</v>
      </c>
      <c r="B479">
        <v>1976</v>
      </c>
      <c r="E479" s="7">
        <v>1976.3333333333101</v>
      </c>
      <c r="F479" s="1">
        <v>0.97754531613045881</v>
      </c>
      <c r="G479" s="7">
        <v>1976.3333333333101</v>
      </c>
      <c r="H479" s="1">
        <v>1.0496860595521171</v>
      </c>
      <c r="I479" s="7">
        <v>1976.3333333333101</v>
      </c>
      <c r="J479" s="1">
        <v>1.0281178113363767</v>
      </c>
      <c r="L479" s="1">
        <f t="shared" si="56"/>
        <v>1.0184497290063177</v>
      </c>
      <c r="M479" s="1"/>
      <c r="N479" s="1"/>
      <c r="R479" s="7">
        <f t="shared" si="57"/>
        <v>-0.59527027234158247</v>
      </c>
      <c r="S479" s="7">
        <f t="shared" si="61"/>
        <v>0.49763016758280831</v>
      </c>
      <c r="T479" s="7">
        <f t="shared" si="58"/>
        <v>0.11057005246582556</v>
      </c>
      <c r="V479" s="7">
        <f t="shared" si="59"/>
        <v>4.3099825690171333E-3</v>
      </c>
      <c r="AF479" s="7">
        <f t="shared" si="60"/>
        <v>7.4646804535244736E-3</v>
      </c>
    </row>
    <row r="480" spans="1:32" x14ac:dyDescent="0.35">
      <c r="A480" t="s">
        <v>40</v>
      </c>
      <c r="B480">
        <v>1976</v>
      </c>
      <c r="E480" s="7">
        <v>1976.24999999997</v>
      </c>
      <c r="F480" s="1">
        <v>0.9661816251106119</v>
      </c>
      <c r="G480" s="7">
        <v>1976.24999999997</v>
      </c>
      <c r="H480" s="1">
        <v>1.0261370614713701</v>
      </c>
      <c r="I480" s="7">
        <v>1976.24999999997</v>
      </c>
      <c r="J480" s="1">
        <v>1.026213754390265</v>
      </c>
      <c r="L480" s="1">
        <f t="shared" si="56"/>
        <v>1.0061774803240822</v>
      </c>
      <c r="M480" s="1"/>
      <c r="N480" s="1"/>
      <c r="R480" s="7">
        <f t="shared" si="57"/>
        <v>-0.94527125304295345</v>
      </c>
      <c r="S480" s="7">
        <f t="shared" si="61"/>
        <v>-0.16174954743014772</v>
      </c>
      <c r="T480" s="7">
        <f t="shared" si="58"/>
        <v>5.1067461658678287E-2</v>
      </c>
      <c r="V480" s="7">
        <f t="shared" si="59"/>
        <v>-0.35198444627147429</v>
      </c>
      <c r="AF480" s="7">
        <f t="shared" si="60"/>
        <v>-0.40445753307896937</v>
      </c>
    </row>
    <row r="481" spans="1:32" x14ac:dyDescent="0.35">
      <c r="A481" t="s">
        <v>38</v>
      </c>
      <c r="B481">
        <v>1976</v>
      </c>
      <c r="E481" s="7">
        <v>1976.1666666666399</v>
      </c>
      <c r="F481" s="1">
        <v>0.97104092752586857</v>
      </c>
      <c r="G481" s="7">
        <v>1976.1666666666399</v>
      </c>
      <c r="H481" s="1">
        <v>1.0274712814043083</v>
      </c>
      <c r="I481" s="7">
        <v>1976.1666666666399</v>
      </c>
      <c r="J481" s="1">
        <v>1.0256915208892379</v>
      </c>
      <c r="L481" s="1">
        <f t="shared" si="56"/>
        <v>1.0080679099398049</v>
      </c>
      <c r="M481" s="1"/>
      <c r="N481" s="1"/>
      <c r="R481" s="7">
        <f t="shared" si="57"/>
        <v>-0.79560503914344105</v>
      </c>
      <c r="S481" s="7">
        <f t="shared" si="61"/>
        <v>-0.12439094915225782</v>
      </c>
      <c r="T481" s="7">
        <f t="shared" si="58"/>
        <v>3.4747442249145617E-2</v>
      </c>
      <c r="V481" s="7">
        <f t="shared" si="59"/>
        <v>-0.29508284868218443</v>
      </c>
      <c r="AF481" s="7">
        <f t="shared" si="60"/>
        <v>-0.341004618132494</v>
      </c>
    </row>
    <row r="482" spans="1:32" x14ac:dyDescent="0.35">
      <c r="A482" t="s">
        <v>36</v>
      </c>
      <c r="B482">
        <v>1976</v>
      </c>
      <c r="E482" s="7">
        <v>1976.0833333333101</v>
      </c>
      <c r="F482" s="1">
        <v>1.0118286766162818</v>
      </c>
      <c r="G482" s="7">
        <v>1976.0833333333101</v>
      </c>
      <c r="H482" s="1">
        <v>1.0524876337453735</v>
      </c>
      <c r="I482" s="7">
        <v>1976.0833333333101</v>
      </c>
      <c r="J482" s="1">
        <v>1.0454350112452495</v>
      </c>
      <c r="L482" s="1">
        <f t="shared" si="56"/>
        <v>1.0365837738689683</v>
      </c>
      <c r="M482" s="1"/>
      <c r="N482" s="1"/>
      <c r="R482" s="7">
        <f t="shared" si="57"/>
        <v>0.46065511060132192</v>
      </c>
      <c r="S482" s="7">
        <f t="shared" si="61"/>
        <v>0.57607516922588486</v>
      </c>
      <c r="T482" s="7">
        <f t="shared" si="58"/>
        <v>0.65173992777204515</v>
      </c>
      <c r="V482" s="7">
        <f t="shared" si="59"/>
        <v>0.56282340253308394</v>
      </c>
      <c r="AF482" s="7">
        <f t="shared" si="60"/>
        <v>0.61614008245490093</v>
      </c>
    </row>
    <row r="483" spans="1:32" x14ac:dyDescent="0.35">
      <c r="A483" t="s">
        <v>34</v>
      </c>
      <c r="B483">
        <v>1976</v>
      </c>
      <c r="E483" s="7">
        <v>1975.99999999997</v>
      </c>
      <c r="F483" s="1">
        <v>1.0520694865482898</v>
      </c>
      <c r="G483" s="7">
        <v>1975.99999999997</v>
      </c>
      <c r="H483" s="1">
        <v>1.0980162836475975</v>
      </c>
      <c r="I483" s="7">
        <v>1975.99999999997</v>
      </c>
      <c r="J483" s="1">
        <v>1.0865294505738798</v>
      </c>
      <c r="L483" s="1">
        <f t="shared" si="56"/>
        <v>1.0788717402565891</v>
      </c>
      <c r="M483" s="1"/>
      <c r="N483" s="1"/>
      <c r="R483" s="7">
        <f t="shared" si="57"/>
        <v>1.7000695680889206</v>
      </c>
      <c r="S483" s="7">
        <f t="shared" si="61"/>
        <v>1.8508923862690643</v>
      </c>
      <c r="T483" s="7">
        <f t="shared" si="58"/>
        <v>1.9359586654594956</v>
      </c>
      <c r="V483" s="7">
        <f t="shared" si="59"/>
        <v>1.8289735399391602</v>
      </c>
      <c r="AF483" s="7">
        <f t="shared" si="60"/>
        <v>2.0355501002287024</v>
      </c>
    </row>
    <row r="484" spans="1:32" x14ac:dyDescent="0.35">
      <c r="A484" t="s">
        <v>33</v>
      </c>
      <c r="B484">
        <v>1975</v>
      </c>
      <c r="E484" s="7">
        <v>1975.9166666666399</v>
      </c>
      <c r="F484" s="1">
        <v>1.0609066549254402</v>
      </c>
      <c r="G484" s="7">
        <v>1975.9166666666399</v>
      </c>
      <c r="H484" s="1">
        <v>1.111357999158195</v>
      </c>
      <c r="I484" s="7">
        <v>1975.9166666666399</v>
      </c>
      <c r="J484" s="1">
        <v>1.1032421192912212</v>
      </c>
      <c r="L484" s="1">
        <f t="shared" si="56"/>
        <v>1.0918355911249522</v>
      </c>
      <c r="M484" s="1"/>
      <c r="N484" s="1"/>
      <c r="R484" s="7">
        <f t="shared" si="57"/>
        <v>1.9722538076307892</v>
      </c>
      <c r="S484" s="7">
        <f t="shared" si="61"/>
        <v>2.2244648219623717</v>
      </c>
      <c r="T484" s="7">
        <f t="shared" si="58"/>
        <v>2.4582366834642246</v>
      </c>
      <c r="V484" s="7">
        <f t="shared" si="59"/>
        <v>2.2183184376857952</v>
      </c>
      <c r="AF484" s="7">
        <f t="shared" si="60"/>
        <v>2.4706861770693922</v>
      </c>
    </row>
    <row r="485" spans="1:32" x14ac:dyDescent="0.35">
      <c r="A485" t="s">
        <v>35</v>
      </c>
      <c r="B485">
        <v>1975</v>
      </c>
      <c r="E485" s="7">
        <v>1975.8333333333101</v>
      </c>
      <c r="F485" s="1">
        <v>1.059437475887381</v>
      </c>
      <c r="G485" s="7">
        <v>1975.8333333333101</v>
      </c>
      <c r="H485" s="1">
        <v>1.1027941158471148</v>
      </c>
      <c r="I485" s="7">
        <v>1975.8333333333101</v>
      </c>
      <c r="J485" s="1">
        <v>1.0879296105924852</v>
      </c>
      <c r="L485" s="1">
        <f t="shared" si="56"/>
        <v>1.0833870674423272</v>
      </c>
      <c r="M485" s="1"/>
      <c r="N485" s="1"/>
      <c r="R485" s="7">
        <f t="shared" si="57"/>
        <v>1.927003184109916</v>
      </c>
      <c r="S485" s="7">
        <f t="shared" si="61"/>
        <v>1.984673264049726</v>
      </c>
      <c r="T485" s="7">
        <f t="shared" si="58"/>
        <v>1.9797142625920991</v>
      </c>
      <c r="V485" s="7">
        <f t="shared" si="59"/>
        <v>1.9637969035839138</v>
      </c>
      <c r="AF485" s="7">
        <f t="shared" si="60"/>
        <v>2.1871085975613913</v>
      </c>
    </row>
    <row r="486" spans="1:32" x14ac:dyDescent="0.35">
      <c r="A486" t="s">
        <v>37</v>
      </c>
      <c r="B486">
        <v>1975</v>
      </c>
      <c r="E486" s="7">
        <v>1975.74999999997</v>
      </c>
      <c r="F486" s="1">
        <v>1.0516209423124887</v>
      </c>
      <c r="G486" s="7">
        <v>1975.74999999997</v>
      </c>
      <c r="H486" s="1">
        <v>1.0794543872931832</v>
      </c>
      <c r="I486" s="7">
        <v>1975.74999999997</v>
      </c>
      <c r="J486" s="1">
        <v>1.0687063696375509</v>
      </c>
      <c r="L486" s="1">
        <f t="shared" si="56"/>
        <v>1.0665938997477409</v>
      </c>
      <c r="M486" s="1"/>
      <c r="N486" s="1"/>
      <c r="R486" s="7">
        <f t="shared" si="57"/>
        <v>1.6862544333634037</v>
      </c>
      <c r="S486" s="7">
        <f t="shared" si="61"/>
        <v>1.3311531648250643</v>
      </c>
      <c r="T486" s="7">
        <f t="shared" si="58"/>
        <v>1.3789797925099609</v>
      </c>
      <c r="V486" s="7">
        <f t="shared" si="59"/>
        <v>1.4654624635661431</v>
      </c>
      <c r="AF486" s="7">
        <f t="shared" si="60"/>
        <v>1.6234401951283786</v>
      </c>
    </row>
    <row r="487" spans="1:32" x14ac:dyDescent="0.35">
      <c r="A487" t="s">
        <v>39</v>
      </c>
      <c r="B487">
        <v>1975</v>
      </c>
      <c r="E487" s="7">
        <v>1975.6666666666399</v>
      </c>
      <c r="F487" s="1">
        <v>1.0259566497109949</v>
      </c>
      <c r="G487" s="7">
        <v>1975.6666666666399</v>
      </c>
      <c r="H487" s="1">
        <v>1.044394665983357</v>
      </c>
      <c r="I487" s="7">
        <v>1975.6666666666399</v>
      </c>
      <c r="J487" s="1">
        <v>1.0592360179120184</v>
      </c>
      <c r="L487" s="1">
        <f t="shared" si="56"/>
        <v>1.0431957778687901</v>
      </c>
      <c r="M487" s="1"/>
      <c r="N487" s="1"/>
      <c r="R487" s="7">
        <f t="shared" si="57"/>
        <v>0.89579580827041072</v>
      </c>
      <c r="S487" s="7">
        <f t="shared" si="61"/>
        <v>0.34946940204081239</v>
      </c>
      <c r="T487" s="7">
        <f t="shared" si="58"/>
        <v>1.0830272661557108</v>
      </c>
      <c r="V487" s="7">
        <f t="shared" si="59"/>
        <v>0.77609749215564461</v>
      </c>
      <c r="AF487" s="7">
        <f t="shared" si="60"/>
        <v>0.83807425230552246</v>
      </c>
    </row>
    <row r="488" spans="1:32" x14ac:dyDescent="0.35">
      <c r="A488" t="s">
        <v>41</v>
      </c>
      <c r="B488">
        <v>1975</v>
      </c>
      <c r="E488" s="7">
        <v>1975.5833333333101</v>
      </c>
      <c r="F488" s="1">
        <v>1.0309455850784113</v>
      </c>
      <c r="G488" s="7">
        <v>1975.5833333333101</v>
      </c>
      <c r="H488" s="1">
        <v>1.0200711366770348</v>
      </c>
      <c r="I488" s="7">
        <v>1975.5833333333101</v>
      </c>
      <c r="J488" s="1">
        <v>1.0536912052670278</v>
      </c>
      <c r="L488" s="1">
        <f t="shared" si="56"/>
        <v>1.0349026423408247</v>
      </c>
      <c r="M488" s="1"/>
      <c r="N488" s="1"/>
      <c r="R488" s="7">
        <f t="shared" si="57"/>
        <v>1.0494547090801776</v>
      </c>
      <c r="S488" s="7">
        <f t="shared" si="61"/>
        <v>-0.33159744280404552</v>
      </c>
      <c r="T488" s="7">
        <f t="shared" si="58"/>
        <v>0.90974950858080017</v>
      </c>
      <c r="V488" s="7">
        <f t="shared" si="59"/>
        <v>0.54253559161897735</v>
      </c>
      <c r="AF488" s="7">
        <f t="shared" si="60"/>
        <v>0.55971232921726022</v>
      </c>
    </row>
    <row r="489" spans="1:32" x14ac:dyDescent="0.35">
      <c r="A489" t="s">
        <v>43</v>
      </c>
      <c r="B489">
        <v>1975</v>
      </c>
      <c r="E489" s="7">
        <v>1975.49999999997</v>
      </c>
      <c r="F489" s="1">
        <v>1.0173848249988726</v>
      </c>
      <c r="G489" s="7">
        <v>1975.49999999997</v>
      </c>
      <c r="H489" s="1">
        <v>1.0060396475004536</v>
      </c>
      <c r="I489" s="7">
        <v>1975.49999999997</v>
      </c>
      <c r="J489" s="1">
        <v>1.0473458592131826</v>
      </c>
      <c r="L489" s="1">
        <f t="shared" si="56"/>
        <v>1.0235901105708363</v>
      </c>
      <c r="M489" s="1"/>
      <c r="N489" s="1"/>
      <c r="R489" s="7">
        <f t="shared" si="57"/>
        <v>0.63178413720304183</v>
      </c>
      <c r="S489" s="7">
        <f t="shared" si="61"/>
        <v>-0.72448376869939934</v>
      </c>
      <c r="T489" s="7">
        <f t="shared" si="58"/>
        <v>0.7114547409044869</v>
      </c>
      <c r="V489" s="7">
        <f t="shared" si="59"/>
        <v>0.20625170313604313</v>
      </c>
      <c r="AF489" s="7">
        <f t="shared" si="60"/>
        <v>0.18000334123890857</v>
      </c>
    </row>
    <row r="490" spans="1:32" x14ac:dyDescent="0.35">
      <c r="A490" t="s">
        <v>44</v>
      </c>
      <c r="B490">
        <v>1975</v>
      </c>
      <c r="E490" s="7">
        <v>1975.4166666666399</v>
      </c>
      <c r="F490" s="1">
        <v>1.0039456664213566</v>
      </c>
      <c r="G490" s="7">
        <v>1975.4166666666399</v>
      </c>
      <c r="H490" s="1">
        <v>0.99091444434421894</v>
      </c>
      <c r="I490" s="7">
        <v>1975.4166666666399</v>
      </c>
      <c r="J490" s="1">
        <v>1.0381851744242299</v>
      </c>
      <c r="L490" s="1">
        <f t="shared" si="56"/>
        <v>1.0110150950632686</v>
      </c>
      <c r="M490" s="1"/>
      <c r="N490" s="1"/>
      <c r="R490" s="7">
        <f t="shared" si="57"/>
        <v>0.2178588840685893</v>
      </c>
      <c r="S490" s="7">
        <f t="shared" si="61"/>
        <v>-1.1479944468383942</v>
      </c>
      <c r="T490" s="7">
        <f t="shared" si="58"/>
        <v>0.42517943825483318</v>
      </c>
      <c r="V490" s="7">
        <f t="shared" si="59"/>
        <v>-0.16831870817165726</v>
      </c>
      <c r="AF490" s="7">
        <f t="shared" si="60"/>
        <v>-0.24208134407070583</v>
      </c>
    </row>
    <row r="491" spans="1:32" x14ac:dyDescent="0.35">
      <c r="A491" t="s">
        <v>42</v>
      </c>
      <c r="B491">
        <v>1975</v>
      </c>
      <c r="E491" s="7">
        <v>1975.3333333333001</v>
      </c>
      <c r="F491" s="1">
        <v>0.98837877429147936</v>
      </c>
      <c r="G491" s="7">
        <v>1975.3333333333101</v>
      </c>
      <c r="H491" s="1">
        <v>0.99290747644125699</v>
      </c>
      <c r="I491" s="7">
        <v>1975.3333333333001</v>
      </c>
      <c r="J491" s="1">
        <v>1.0286861777498035</v>
      </c>
      <c r="L491" s="1">
        <f t="shared" si="56"/>
        <v>1.0033241428275133</v>
      </c>
      <c r="M491" s="1"/>
      <c r="N491" s="1"/>
      <c r="R491" s="7">
        <f t="shared" si="57"/>
        <v>-0.2616004309034311</v>
      </c>
      <c r="S491" s="7">
        <f t="shared" si="61"/>
        <v>-1.0921888906253236</v>
      </c>
      <c r="T491" s="7">
        <f t="shared" si="58"/>
        <v>0.12833174504320624</v>
      </c>
      <c r="V491" s="7">
        <f t="shared" si="59"/>
        <v>-0.40848585882851612</v>
      </c>
      <c r="AF491" s="7">
        <f t="shared" si="60"/>
        <v>-0.50023077952917294</v>
      </c>
    </row>
    <row r="492" spans="1:32" x14ac:dyDescent="0.35">
      <c r="A492" t="s">
        <v>40</v>
      </c>
      <c r="B492">
        <v>1975</v>
      </c>
      <c r="E492" s="7">
        <v>1975.24999999997</v>
      </c>
      <c r="F492" s="1">
        <v>0.97073354343589902</v>
      </c>
      <c r="G492" s="7">
        <v>1975.24999999997</v>
      </c>
      <c r="H492" s="1">
        <v>0.98466586520238497</v>
      </c>
      <c r="I492" s="7">
        <v>1975.24999999997</v>
      </c>
      <c r="J492" s="1">
        <v>1.0264409919216591</v>
      </c>
      <c r="L492" s="1">
        <f t="shared" si="56"/>
        <v>0.99394680018664772</v>
      </c>
      <c r="M492" s="1"/>
      <c r="N492" s="1"/>
      <c r="R492" s="7">
        <f t="shared" si="57"/>
        <v>-0.80507245010643214</v>
      </c>
      <c r="S492" s="7">
        <f t="shared" si="61"/>
        <v>-1.3229567241994391</v>
      </c>
      <c r="T492" s="7">
        <f t="shared" si="58"/>
        <v>5.8168731331405391E-2</v>
      </c>
      <c r="V492" s="7">
        <f t="shared" si="59"/>
        <v>-0.68995348099148857</v>
      </c>
      <c r="AF492" s="7">
        <f t="shared" si="60"/>
        <v>-0.81498448422466252</v>
      </c>
    </row>
    <row r="493" spans="1:32" x14ac:dyDescent="0.35">
      <c r="A493" t="s">
        <v>38</v>
      </c>
      <c r="B493">
        <v>1975</v>
      </c>
      <c r="E493" s="7">
        <v>1975.1666666666399</v>
      </c>
      <c r="F493" s="1">
        <v>0.97996418580701994</v>
      </c>
      <c r="G493" s="7">
        <v>1975.1666666666399</v>
      </c>
      <c r="H493" s="1">
        <v>0.99549561891030891</v>
      </c>
      <c r="I493" s="7">
        <v>1975.1666666666399</v>
      </c>
      <c r="J493" s="1">
        <v>1.0254333991229794</v>
      </c>
      <c r="L493" s="1">
        <f t="shared" si="56"/>
        <v>1.0002977346134361</v>
      </c>
      <c r="M493" s="1"/>
      <c r="N493" s="1"/>
      <c r="R493" s="7">
        <f t="shared" si="57"/>
        <v>-0.52076923588198598</v>
      </c>
      <c r="S493" s="7">
        <f t="shared" si="61"/>
        <v>-1.0197200476705304</v>
      </c>
      <c r="T493" s="7">
        <f t="shared" si="58"/>
        <v>2.6681027078390304E-2</v>
      </c>
      <c r="V493" s="7">
        <f t="shared" si="59"/>
        <v>-0.50460275215804196</v>
      </c>
      <c r="AF493" s="7">
        <f t="shared" si="60"/>
        <v>-0.60181320365329871</v>
      </c>
    </row>
    <row r="494" spans="1:32" x14ac:dyDescent="0.35">
      <c r="A494" t="s">
        <v>36</v>
      </c>
      <c r="B494">
        <v>1975</v>
      </c>
      <c r="E494" s="7">
        <v>1975.0833333333001</v>
      </c>
      <c r="F494" s="1">
        <v>0.9804481271749621</v>
      </c>
      <c r="G494" s="7">
        <v>1975.0833333333101</v>
      </c>
      <c r="H494" s="1">
        <v>1.0138799761019621</v>
      </c>
      <c r="I494" s="7">
        <v>1975.0833333333001</v>
      </c>
      <c r="J494" s="1">
        <v>1.0440606670635144</v>
      </c>
      <c r="L494" s="1">
        <f t="shared" si="56"/>
        <v>1.0127962567801463</v>
      </c>
      <c r="M494" s="1"/>
      <c r="N494" s="1"/>
      <c r="R494" s="7">
        <f t="shared" si="57"/>
        <v>-0.50586387167541835</v>
      </c>
      <c r="S494" s="7">
        <f t="shared" si="61"/>
        <v>-0.50495198135354002</v>
      </c>
      <c r="T494" s="7">
        <f t="shared" si="58"/>
        <v>0.60879108654071334</v>
      </c>
      <c r="V494" s="7">
        <f t="shared" si="59"/>
        <v>-0.13400825549608167</v>
      </c>
      <c r="AF494" s="7">
        <f t="shared" si="60"/>
        <v>-0.18229604342424377</v>
      </c>
    </row>
    <row r="495" spans="1:32" x14ac:dyDescent="0.35">
      <c r="A495" t="s">
        <v>34</v>
      </c>
      <c r="B495">
        <v>1975</v>
      </c>
      <c r="E495" s="7">
        <v>1974.99999999997</v>
      </c>
      <c r="F495" s="1">
        <v>1.013734387505915</v>
      </c>
      <c r="G495" s="7">
        <v>1974.99999999997</v>
      </c>
      <c r="H495" s="1">
        <v>1.028642437310971</v>
      </c>
      <c r="I495" s="7">
        <v>1974.99999999997</v>
      </c>
      <c r="J495" s="1">
        <v>1.0508633068233522</v>
      </c>
      <c r="L495" s="1">
        <f t="shared" si="56"/>
        <v>1.0310800438800793</v>
      </c>
      <c r="M495" s="1"/>
      <c r="N495" s="1"/>
      <c r="R495" s="7">
        <f t="shared" si="57"/>
        <v>0.51935088815634112</v>
      </c>
      <c r="S495" s="7">
        <f t="shared" si="61"/>
        <v>-9.1598197404472684E-2</v>
      </c>
      <c r="T495" s="7">
        <f t="shared" si="58"/>
        <v>0.82137647736352726</v>
      </c>
      <c r="V495" s="7">
        <f t="shared" si="59"/>
        <v>0.41637638937179861</v>
      </c>
      <c r="AF495" s="7">
        <f t="shared" si="60"/>
        <v>0.43140550785407761</v>
      </c>
    </row>
    <row r="496" spans="1:32" x14ac:dyDescent="0.35">
      <c r="A496" t="s">
        <v>33</v>
      </c>
      <c r="B496">
        <v>1974</v>
      </c>
      <c r="E496" s="7">
        <v>1974.9166666666399</v>
      </c>
      <c r="F496" s="1">
        <v>1.034903289558873</v>
      </c>
      <c r="G496" s="7">
        <v>1974.9166666666399</v>
      </c>
      <c r="H496" s="1">
        <v>1.024671878482005</v>
      </c>
      <c r="I496" s="7">
        <v>1974.9166666666399</v>
      </c>
      <c r="J496" s="1">
        <v>1.0554394656341894</v>
      </c>
      <c r="L496" s="1">
        <f t="shared" si="56"/>
        <v>1.0383382112250226</v>
      </c>
      <c r="M496" s="1"/>
      <c r="N496" s="1"/>
      <c r="R496" s="7">
        <f t="shared" si="57"/>
        <v>1.1713517623411767</v>
      </c>
      <c r="S496" s="7">
        <f t="shared" si="61"/>
        <v>-0.20277515449235292</v>
      </c>
      <c r="T496" s="7">
        <f t="shared" si="58"/>
        <v>0.96438338991717842</v>
      </c>
      <c r="V496" s="7">
        <f t="shared" si="59"/>
        <v>0.64431999925533401</v>
      </c>
      <c r="AF496" s="7">
        <f t="shared" si="60"/>
        <v>0.67502837081366762</v>
      </c>
    </row>
    <row r="497" spans="1:32" x14ac:dyDescent="0.35">
      <c r="A497" t="s">
        <v>35</v>
      </c>
      <c r="B497">
        <v>1974</v>
      </c>
      <c r="E497" s="7">
        <v>1974.8333333333001</v>
      </c>
      <c r="F497" s="1">
        <v>1.0268093351220087</v>
      </c>
      <c r="G497" s="7">
        <v>1974.8333333333101</v>
      </c>
      <c r="H497" s="1">
        <v>1.0276588875938277</v>
      </c>
      <c r="I497" s="7">
        <v>1974.8333333333001</v>
      </c>
      <c r="J497" s="1">
        <v>1.044487656359453</v>
      </c>
      <c r="L497" s="1">
        <f t="shared" si="56"/>
        <v>1.0329852930250965</v>
      </c>
      <c r="M497" s="1"/>
      <c r="N497" s="1"/>
      <c r="R497" s="7">
        <f t="shared" si="57"/>
        <v>0.92205846620112608</v>
      </c>
      <c r="S497" s="7">
        <f t="shared" si="61"/>
        <v>-0.11913791395492984</v>
      </c>
      <c r="T497" s="7">
        <f t="shared" si="58"/>
        <v>0.62213468396155014</v>
      </c>
      <c r="V497" s="7">
        <f t="shared" si="59"/>
        <v>0.47501841206924872</v>
      </c>
      <c r="AF497" s="7">
        <f t="shared" si="60"/>
        <v>0.49535584535680294</v>
      </c>
    </row>
    <row r="498" spans="1:32" x14ac:dyDescent="0.35">
      <c r="A498" t="s">
        <v>37</v>
      </c>
      <c r="B498">
        <v>1974</v>
      </c>
      <c r="E498" s="7">
        <v>1974.74999999997</v>
      </c>
      <c r="F498" s="1">
        <v>1.0277735054282784</v>
      </c>
      <c r="G498" s="7">
        <v>1974.74999999997</v>
      </c>
      <c r="H498" s="1">
        <v>1.0246604628935905</v>
      </c>
      <c r="I498" s="7">
        <v>1974.74999999997</v>
      </c>
      <c r="J498" s="1">
        <v>1.0334735788347231</v>
      </c>
      <c r="L498" s="1">
        <f t="shared" si="56"/>
        <v>1.0286358490521972</v>
      </c>
      <c r="M498" s="1"/>
      <c r="N498" s="1"/>
      <c r="R498" s="7">
        <f t="shared" si="57"/>
        <v>0.95175485201170129</v>
      </c>
      <c r="S498" s="7">
        <f t="shared" si="61"/>
        <v>-0.2030947947339328</v>
      </c>
      <c r="T498" s="7">
        <f t="shared" si="58"/>
        <v>0.27794006866366355</v>
      </c>
      <c r="V498" s="7">
        <f t="shared" si="59"/>
        <v>0.34220004198047738</v>
      </c>
      <c r="AF498" s="7">
        <f t="shared" si="60"/>
        <v>0.34936527465188588</v>
      </c>
    </row>
    <row r="499" spans="1:32" x14ac:dyDescent="0.35">
      <c r="A499" t="s">
        <v>39</v>
      </c>
      <c r="B499">
        <v>1974</v>
      </c>
      <c r="E499" s="7">
        <v>1974.6666666666399</v>
      </c>
      <c r="F499" s="1">
        <v>1.0159091208392577</v>
      </c>
      <c r="G499" s="7">
        <v>1974.6666666666399</v>
      </c>
      <c r="H499" s="1">
        <v>1.0217626112197298</v>
      </c>
      <c r="I499" s="7">
        <v>1974.6666666666399</v>
      </c>
      <c r="J499" s="1">
        <v>1.0308165189776075</v>
      </c>
      <c r="L499" s="1">
        <f t="shared" si="56"/>
        <v>1.0228294170121981</v>
      </c>
      <c r="M499" s="1"/>
      <c r="N499" s="1"/>
      <c r="R499" s="7">
        <f t="shared" si="57"/>
        <v>0.58633254034175331</v>
      </c>
      <c r="S499" s="7">
        <f t="shared" si="61"/>
        <v>-0.28423559759561728</v>
      </c>
      <c r="T499" s="7">
        <f t="shared" si="58"/>
        <v>0.1949058160637572</v>
      </c>
      <c r="V499" s="7">
        <f t="shared" si="59"/>
        <v>0.16566758626996439</v>
      </c>
      <c r="AF499" s="7">
        <f t="shared" si="60"/>
        <v>0.15447040244279989</v>
      </c>
    </row>
    <row r="500" spans="1:32" x14ac:dyDescent="0.35">
      <c r="A500" t="s">
        <v>41</v>
      </c>
      <c r="B500">
        <v>1974</v>
      </c>
      <c r="E500" s="7">
        <v>1974.5833333333001</v>
      </c>
      <c r="F500" s="1">
        <v>1.0029411114246045</v>
      </c>
      <c r="G500" s="7">
        <v>1974.5833333333101</v>
      </c>
      <c r="H500" s="1">
        <v>1.0109855479358867</v>
      </c>
      <c r="I500" s="7">
        <v>1974.5833333333001</v>
      </c>
      <c r="J500" s="1">
        <v>1.0253490827590421</v>
      </c>
      <c r="L500" s="1">
        <f t="shared" si="56"/>
        <v>1.0130919140398444</v>
      </c>
      <c r="M500" s="1"/>
      <c r="N500" s="1"/>
      <c r="R500" s="7">
        <f t="shared" si="57"/>
        <v>0.18691865228847182</v>
      </c>
      <c r="S500" s="7">
        <f t="shared" si="61"/>
        <v>-0.58599692486783106</v>
      </c>
      <c r="T500" s="7">
        <f t="shared" si="58"/>
        <v>2.4046104781581101E-2</v>
      </c>
      <c r="V500" s="7">
        <f t="shared" si="59"/>
        <v>-0.12501072259925938</v>
      </c>
      <c r="AF500" s="7">
        <f t="shared" si="60"/>
        <v>-0.17237220664296116</v>
      </c>
    </row>
    <row r="501" spans="1:32" x14ac:dyDescent="0.35">
      <c r="A501" t="s">
        <v>43</v>
      </c>
      <c r="B501">
        <v>1974</v>
      </c>
      <c r="E501" s="7">
        <v>1974.49999999997</v>
      </c>
      <c r="F501" s="1">
        <v>0.99010735590296628</v>
      </c>
      <c r="G501" s="7">
        <v>1974.49999999997</v>
      </c>
      <c r="H501" s="1">
        <v>0.99638799858368665</v>
      </c>
      <c r="I501" s="7">
        <v>1974.49999999997</v>
      </c>
      <c r="J501" s="1">
        <v>1.0224398263926819</v>
      </c>
      <c r="L501" s="1">
        <f t="shared" si="56"/>
        <v>1.0029783936264449</v>
      </c>
      <c r="M501" s="1"/>
      <c r="N501" s="1"/>
      <c r="R501" s="7">
        <f t="shared" si="57"/>
        <v>-0.20836022416196606</v>
      </c>
      <c r="S501" s="7">
        <f t="shared" si="61"/>
        <v>-0.99473312242226508</v>
      </c>
      <c r="T501" s="7">
        <f t="shared" si="58"/>
        <v>-6.6869396182884497E-2</v>
      </c>
      <c r="V501" s="7">
        <f t="shared" si="59"/>
        <v>-0.42332091425570523</v>
      </c>
      <c r="AF501" s="7">
        <f t="shared" si="60"/>
        <v>-0.51183596941074039</v>
      </c>
    </row>
    <row r="502" spans="1:32" x14ac:dyDescent="0.35">
      <c r="A502" t="s">
        <v>44</v>
      </c>
      <c r="B502">
        <v>1974</v>
      </c>
      <c r="E502" s="7">
        <v>1974.4166666666399</v>
      </c>
      <c r="F502" s="1">
        <v>0.98139077160812438</v>
      </c>
      <c r="G502" s="7">
        <v>1974.4166666666399</v>
      </c>
      <c r="H502" s="1">
        <v>0.98052650796634311</v>
      </c>
      <c r="I502" s="7">
        <v>1974.4166666666399</v>
      </c>
      <c r="J502" s="1">
        <v>1.0138930017384937</v>
      </c>
      <c r="L502" s="1">
        <f t="shared" si="56"/>
        <v>0.99193676043765378</v>
      </c>
      <c r="M502" s="1"/>
      <c r="N502" s="1"/>
      <c r="R502" s="7">
        <f t="shared" si="57"/>
        <v>-0.47683048142543161</v>
      </c>
      <c r="S502" s="7">
        <f t="shared" si="61"/>
        <v>-1.43886009237159</v>
      </c>
      <c r="T502" s="7">
        <f t="shared" si="58"/>
        <v>-0.33396130808033281</v>
      </c>
      <c r="V502" s="7">
        <f t="shared" si="59"/>
        <v>-0.74988396062578477</v>
      </c>
      <c r="AF502" s="7">
        <f t="shared" si="60"/>
        <v>-0.88245215409778122</v>
      </c>
    </row>
    <row r="503" spans="1:32" x14ac:dyDescent="0.35">
      <c r="A503" t="s">
        <v>42</v>
      </c>
      <c r="B503">
        <v>1974</v>
      </c>
      <c r="E503" s="7">
        <v>1974.3333333333001</v>
      </c>
      <c r="F503" s="1">
        <v>0.97163260339780011</v>
      </c>
      <c r="G503" s="7">
        <v>1974.3333333333001</v>
      </c>
      <c r="H503" s="1">
        <v>0.97695074376408619</v>
      </c>
      <c r="I503" s="7">
        <v>1974.3333333333001</v>
      </c>
      <c r="J503" s="1">
        <v>1.0098257800905908</v>
      </c>
      <c r="L503" s="1">
        <f t="shared" si="56"/>
        <v>0.98613637575082569</v>
      </c>
      <c r="M503" s="1"/>
      <c r="N503" s="1"/>
      <c r="R503" s="7">
        <f t="shared" si="57"/>
        <v>-0.77738145887610577</v>
      </c>
      <c r="S503" s="7">
        <f t="shared" si="61"/>
        <v>-1.5389826696699147</v>
      </c>
      <c r="T503" s="7">
        <f t="shared" si="58"/>
        <v>-0.46106371745487884</v>
      </c>
      <c r="V503" s="7">
        <f t="shared" si="59"/>
        <v>-0.92580928200029977</v>
      </c>
      <c r="AF503" s="7">
        <f t="shared" si="60"/>
        <v>-1.0771440448347089</v>
      </c>
    </row>
    <row r="504" spans="1:32" x14ac:dyDescent="0.35">
      <c r="A504" t="s">
        <v>40</v>
      </c>
      <c r="B504">
        <v>1974</v>
      </c>
      <c r="E504" s="7">
        <v>1974.24999999997</v>
      </c>
      <c r="F504" s="1">
        <v>0.97025565351922027</v>
      </c>
      <c r="G504" s="7">
        <v>1974.24999999997</v>
      </c>
      <c r="H504" s="1">
        <v>0.97095983330250168</v>
      </c>
      <c r="I504" s="7">
        <v>1974.24999999997</v>
      </c>
      <c r="J504" s="1">
        <v>1.0087279228811754</v>
      </c>
      <c r="L504" s="1">
        <f t="shared" si="56"/>
        <v>0.98331446990096583</v>
      </c>
      <c r="M504" s="1"/>
      <c r="N504" s="1"/>
      <c r="R504" s="7">
        <f t="shared" si="57"/>
        <v>-0.81979142998829713</v>
      </c>
      <c r="S504" s="7">
        <f t="shared" si="61"/>
        <v>-1.7067301389797602</v>
      </c>
      <c r="T504" s="7">
        <f t="shared" si="58"/>
        <v>-0.49537222300137473</v>
      </c>
      <c r="V504" s="7">
        <f t="shared" si="59"/>
        <v>-1.0072979306564773</v>
      </c>
      <c r="AF504" s="7">
        <f t="shared" si="60"/>
        <v>-1.1718622773406382</v>
      </c>
    </row>
    <row r="505" spans="1:32" x14ac:dyDescent="0.35">
      <c r="A505" t="s">
        <v>38</v>
      </c>
      <c r="B505">
        <v>1974</v>
      </c>
      <c r="E505" s="7">
        <v>1974.1666666666399</v>
      </c>
      <c r="F505" s="1">
        <v>0.9641821747584205</v>
      </c>
      <c r="G505" s="7">
        <v>1974.1666666666399</v>
      </c>
      <c r="H505" s="1">
        <v>0.96866565374398239</v>
      </c>
      <c r="I505" s="7">
        <v>1974.1666666666399</v>
      </c>
      <c r="J505" s="1">
        <v>1.0175916943182302</v>
      </c>
      <c r="L505" s="1">
        <f t="shared" si="56"/>
        <v>0.98347984094021113</v>
      </c>
      <c r="M505" s="1"/>
      <c r="N505" s="1"/>
      <c r="R505" s="7">
        <f t="shared" si="57"/>
        <v>-1.0068542002480878</v>
      </c>
      <c r="S505" s="7">
        <f t="shared" si="61"/>
        <v>-1.7709679234620548</v>
      </c>
      <c r="T505" s="7">
        <f t="shared" si="58"/>
        <v>-0.21837558910122509</v>
      </c>
      <c r="V505" s="7">
        <f t="shared" si="59"/>
        <v>-0.99873257093712253</v>
      </c>
      <c r="AF505" s="7">
        <f t="shared" si="60"/>
        <v>-1.1663115419942547</v>
      </c>
    </row>
    <row r="506" spans="1:32" x14ac:dyDescent="0.35">
      <c r="A506" t="s">
        <v>36</v>
      </c>
      <c r="B506">
        <v>1974</v>
      </c>
      <c r="E506" s="7">
        <v>1974.0833333333001</v>
      </c>
      <c r="F506" s="1">
        <v>1.0058469496059863</v>
      </c>
      <c r="G506" s="7">
        <v>1974.0833333333001</v>
      </c>
      <c r="H506" s="1">
        <v>0.991186359548063</v>
      </c>
      <c r="I506" s="7">
        <v>1974.0833333333001</v>
      </c>
      <c r="J506" s="1">
        <v>1.0307985112762508</v>
      </c>
      <c r="L506" s="1">
        <f t="shared" si="56"/>
        <v>1.0092772734767668</v>
      </c>
      <c r="M506" s="1"/>
      <c r="N506" s="1"/>
      <c r="R506" s="7">
        <f t="shared" si="57"/>
        <v>0.27641828858330103</v>
      </c>
      <c r="S506" s="7">
        <f t="shared" si="61"/>
        <v>-1.1403807314266556</v>
      </c>
      <c r="T506" s="7">
        <f t="shared" si="58"/>
        <v>0.19434306772401067</v>
      </c>
      <c r="V506" s="7">
        <f t="shared" si="59"/>
        <v>-0.22320645837311462</v>
      </c>
      <c r="AF506" s="7">
        <f t="shared" si="60"/>
        <v>-0.30041191845619653</v>
      </c>
    </row>
    <row r="507" spans="1:32" x14ac:dyDescent="0.35">
      <c r="A507" t="s">
        <v>34</v>
      </c>
      <c r="B507">
        <v>1974</v>
      </c>
      <c r="E507" s="7">
        <v>1973.99999999997</v>
      </c>
      <c r="F507" s="1">
        <v>1.0394882806822876</v>
      </c>
      <c r="G507" s="7">
        <v>1973.99999999997</v>
      </c>
      <c r="H507" s="1">
        <v>1.0253781586325232</v>
      </c>
      <c r="I507" s="7">
        <v>1973.99999999997</v>
      </c>
      <c r="J507" s="1">
        <v>1.0659914497847343</v>
      </c>
      <c r="L507" s="1">
        <f t="shared" si="56"/>
        <v>1.043619296366515</v>
      </c>
      <c r="M507" s="1"/>
      <c r="N507" s="1"/>
      <c r="R507" s="7">
        <f t="shared" si="57"/>
        <v>1.3125692054148628</v>
      </c>
      <c r="S507" s="7">
        <f t="shared" si="61"/>
        <v>-0.18299907727789366</v>
      </c>
      <c r="T507" s="7">
        <f t="shared" si="58"/>
        <v>1.2941373903926072</v>
      </c>
      <c r="V507" s="7">
        <f t="shared" si="59"/>
        <v>0.80790250617652548</v>
      </c>
      <c r="AF507" s="7">
        <f t="shared" si="60"/>
        <v>0.85228979515931869</v>
      </c>
    </row>
    <row r="508" spans="1:32" x14ac:dyDescent="0.35">
      <c r="A508" t="s">
        <v>33</v>
      </c>
      <c r="B508">
        <v>1973</v>
      </c>
      <c r="E508" s="7">
        <v>1973.9166666666399</v>
      </c>
      <c r="F508" s="1">
        <v>1.0680591485807933</v>
      </c>
      <c r="G508" s="7">
        <v>1973.9166666666399</v>
      </c>
      <c r="H508" s="1">
        <v>1.0435365045359208</v>
      </c>
      <c r="I508" s="7">
        <v>1973.9166666666399</v>
      </c>
      <c r="J508" s="1">
        <v>1.0776609540765849</v>
      </c>
      <c r="L508" s="1">
        <f t="shared" si="56"/>
        <v>1.0630855357310995</v>
      </c>
      <c r="M508" s="1"/>
      <c r="N508" s="1"/>
      <c r="R508" s="7">
        <f t="shared" si="57"/>
        <v>2.1925501699185102</v>
      </c>
      <c r="S508" s="7">
        <f t="shared" si="61"/>
        <v>0.32544059840741474</v>
      </c>
      <c r="T508" s="7">
        <f t="shared" si="58"/>
        <v>1.6588143714136845</v>
      </c>
      <c r="V508" s="7">
        <f t="shared" si="59"/>
        <v>1.392268379913203</v>
      </c>
      <c r="AF508" s="7">
        <f t="shared" si="60"/>
        <v>1.5056807600784203</v>
      </c>
    </row>
    <row r="509" spans="1:32" x14ac:dyDescent="0.35">
      <c r="A509" t="s">
        <v>35</v>
      </c>
      <c r="B509">
        <v>1973</v>
      </c>
      <c r="E509" s="7">
        <v>1973.8333333333001</v>
      </c>
      <c r="F509" s="1">
        <v>1.0649976066843241</v>
      </c>
      <c r="G509" s="7">
        <v>1973.8333333333001</v>
      </c>
      <c r="H509" s="1">
        <v>1.0149495604854999</v>
      </c>
      <c r="I509" s="7">
        <v>1973.8333333333001</v>
      </c>
      <c r="J509" s="1">
        <v>1.0742315408775061</v>
      </c>
      <c r="L509" s="1">
        <f t="shared" si="56"/>
        <v>1.0513929026824433</v>
      </c>
      <c r="M509" s="1"/>
      <c r="N509" s="1"/>
      <c r="R509" s="7">
        <f t="shared" si="57"/>
        <v>2.0982548688274214</v>
      </c>
      <c r="S509" s="7">
        <f t="shared" si="61"/>
        <v>-0.47500326576142987</v>
      </c>
      <c r="T509" s="7">
        <f t="shared" si="58"/>
        <v>1.5516437478091083</v>
      </c>
      <c r="V509" s="7">
        <f t="shared" si="59"/>
        <v>1.0582984502916999</v>
      </c>
      <c r="AF509" s="7">
        <f t="shared" si="60"/>
        <v>1.1132135430151266</v>
      </c>
    </row>
    <row r="510" spans="1:32" x14ac:dyDescent="0.35">
      <c r="A510" t="s">
        <v>37</v>
      </c>
      <c r="B510">
        <v>1973</v>
      </c>
      <c r="E510" s="7">
        <v>1973.74999999997</v>
      </c>
      <c r="F510" s="1">
        <v>1.0420257963867163</v>
      </c>
      <c r="G510" s="7">
        <v>1973.74999999997</v>
      </c>
      <c r="H510" s="1">
        <v>1.0083186876060684</v>
      </c>
      <c r="I510" s="7">
        <v>1973.74999999997</v>
      </c>
      <c r="J510" s="1">
        <v>1.0695772640394952</v>
      </c>
      <c r="L510" s="1">
        <f t="shared" si="56"/>
        <v>1.0399739160107597</v>
      </c>
      <c r="M510" s="1"/>
      <c r="N510" s="1"/>
      <c r="R510" s="7">
        <f t="shared" si="57"/>
        <v>1.3907245321959274</v>
      </c>
      <c r="S510" s="7">
        <f t="shared" si="61"/>
        <v>-0.66066989389289732</v>
      </c>
      <c r="T510" s="7">
        <f t="shared" si="58"/>
        <v>1.4061956136233704</v>
      </c>
      <c r="V510" s="7">
        <f t="shared" si="59"/>
        <v>0.7120834173088002</v>
      </c>
      <c r="AF510" s="7">
        <f t="shared" si="60"/>
        <v>0.72993135994571368</v>
      </c>
    </row>
    <row r="511" spans="1:32" x14ac:dyDescent="0.35">
      <c r="A511" t="s">
        <v>39</v>
      </c>
      <c r="B511">
        <v>1973</v>
      </c>
      <c r="E511" s="7">
        <v>1973.6666666666399</v>
      </c>
      <c r="F511" s="1">
        <v>1.0226929992264575</v>
      </c>
      <c r="G511" s="7">
        <v>1973.6666666666399</v>
      </c>
      <c r="H511" s="1">
        <v>1.0107938286203613</v>
      </c>
      <c r="I511" s="7">
        <v>1973.6666666666399</v>
      </c>
      <c r="J511" s="1">
        <v>1.0597846886212059</v>
      </c>
      <c r="L511" s="1">
        <f t="shared" si="56"/>
        <v>1.0310905054893416</v>
      </c>
      <c r="M511" s="1"/>
      <c r="N511" s="1"/>
      <c r="R511" s="7">
        <f t="shared" si="57"/>
        <v>0.79527557516484981</v>
      </c>
      <c r="S511" s="7">
        <f t="shared" si="61"/>
        <v>-0.59136512895023674</v>
      </c>
      <c r="T511" s="7">
        <f t="shared" si="58"/>
        <v>1.1001734595840749</v>
      </c>
      <c r="V511" s="7">
        <f t="shared" si="59"/>
        <v>0.43469463526622931</v>
      </c>
      <c r="AF511" s="7">
        <f t="shared" si="60"/>
        <v>0.43175665533780166</v>
      </c>
    </row>
    <row r="512" spans="1:32" x14ac:dyDescent="0.35">
      <c r="A512" t="s">
        <v>41</v>
      </c>
      <c r="B512">
        <v>1973</v>
      </c>
      <c r="E512" s="7">
        <v>1973.5833333333001</v>
      </c>
      <c r="F512" s="1">
        <v>1.0059387387255998</v>
      </c>
      <c r="G512" s="7">
        <v>1973.5833333333001</v>
      </c>
      <c r="H512" s="1">
        <v>1.0161357562676179</v>
      </c>
      <c r="I512" s="7">
        <v>1973.5833333333001</v>
      </c>
      <c r="J512" s="1">
        <v>1.0391455065367008</v>
      </c>
      <c r="L512" s="1">
        <f t="shared" si="56"/>
        <v>1.0204066671766396</v>
      </c>
      <c r="M512" s="1"/>
      <c r="N512" s="1"/>
      <c r="R512" s="7">
        <f t="shared" si="57"/>
        <v>0.27924538779132507</v>
      </c>
      <c r="S512" s="7">
        <f t="shared" si="61"/>
        <v>-0.44178939253928246</v>
      </c>
      <c r="T512" s="7">
        <f t="shared" si="58"/>
        <v>0.45519022592797026</v>
      </c>
      <c r="V512" s="7">
        <f t="shared" si="59"/>
        <v>9.7548740393337621E-2</v>
      </c>
      <c r="AF512" s="7">
        <f t="shared" si="60"/>
        <v>7.3149977723625206E-2</v>
      </c>
    </row>
    <row r="513" spans="1:32" x14ac:dyDescent="0.35">
      <c r="A513" t="s">
        <v>43</v>
      </c>
      <c r="B513">
        <v>1973</v>
      </c>
      <c r="E513" s="7">
        <v>1973.49999999997</v>
      </c>
      <c r="F513" s="1">
        <v>0.98330117204173129</v>
      </c>
      <c r="G513" s="7">
        <v>1973.49999999997</v>
      </c>
      <c r="H513" s="1">
        <v>1.0202628015236506</v>
      </c>
      <c r="I513" s="7">
        <v>1973.49999999997</v>
      </c>
      <c r="J513" s="1">
        <v>1.0165939487084972</v>
      </c>
      <c r="L513" s="1">
        <f t="shared" si="56"/>
        <v>1.0067193074246263</v>
      </c>
      <c r="M513" s="1"/>
      <c r="N513" s="1"/>
      <c r="R513" s="7">
        <f t="shared" si="57"/>
        <v>-0.4179902662060152</v>
      </c>
      <c r="S513" s="7">
        <f t="shared" si="61"/>
        <v>-0.32623076386907796</v>
      </c>
      <c r="T513" s="7">
        <f t="shared" si="58"/>
        <v>-0.24955556450416949</v>
      </c>
      <c r="V513" s="7">
        <f t="shared" si="59"/>
        <v>-0.3312588648597542</v>
      </c>
      <c r="AF513" s="7">
        <f t="shared" si="60"/>
        <v>-0.3862709216121461</v>
      </c>
    </row>
    <row r="514" spans="1:32" x14ac:dyDescent="0.35">
      <c r="A514" t="s">
        <v>44</v>
      </c>
      <c r="B514">
        <v>1973</v>
      </c>
      <c r="E514" s="7">
        <v>1973.4166666666299</v>
      </c>
      <c r="F514" s="1">
        <v>0.97998713991247322</v>
      </c>
      <c r="G514" s="7">
        <v>1973.4166666666399</v>
      </c>
      <c r="H514" s="1">
        <v>1.0256111114751274</v>
      </c>
      <c r="I514" s="7">
        <v>1973.4166666666299</v>
      </c>
      <c r="J514" s="1">
        <v>1.0086230891394949</v>
      </c>
      <c r="L514" s="1">
        <f t="shared" si="56"/>
        <v>1.0047404468423651</v>
      </c>
      <c r="M514" s="1"/>
      <c r="N514" s="1"/>
      <c r="R514" s="7">
        <f t="shared" si="57"/>
        <v>-0.52006225085346502</v>
      </c>
      <c r="S514" s="7">
        <f t="shared" si="61"/>
        <v>-0.17647632083445194</v>
      </c>
      <c r="T514" s="7">
        <f t="shared" si="58"/>
        <v>-0.49864832209427912</v>
      </c>
      <c r="V514" s="7">
        <f t="shared" si="59"/>
        <v>-0.39839563126073202</v>
      </c>
      <c r="AF514" s="7">
        <f t="shared" si="60"/>
        <v>-0.45269205211752744</v>
      </c>
    </row>
    <row r="515" spans="1:32" x14ac:dyDescent="0.35">
      <c r="A515" t="s">
        <v>42</v>
      </c>
      <c r="B515">
        <v>1973</v>
      </c>
      <c r="E515" s="7">
        <v>1973.3333333333001</v>
      </c>
      <c r="F515" s="1">
        <v>0.99262421303341064</v>
      </c>
      <c r="G515" s="7">
        <v>1973.3333333333001</v>
      </c>
      <c r="H515" s="1">
        <v>1.0108472662420991</v>
      </c>
      <c r="I515" s="7">
        <v>1973.3333333333001</v>
      </c>
      <c r="J515" s="1">
        <v>1.0048099137724249</v>
      </c>
      <c r="L515" s="1">
        <f t="shared" si="56"/>
        <v>1.0027604643493115</v>
      </c>
      <c r="M515" s="1"/>
      <c r="N515" s="1"/>
      <c r="R515" s="7">
        <f t="shared" si="57"/>
        <v>-0.13084118018213139</v>
      </c>
      <c r="S515" s="7">
        <f t="shared" si="61"/>
        <v>-0.58986885791264809</v>
      </c>
      <c r="T515" s="7">
        <f t="shared" si="58"/>
        <v>-0.61781167695401762</v>
      </c>
      <c r="V515" s="7">
        <f t="shared" si="59"/>
        <v>-0.44617390501626569</v>
      </c>
      <c r="AF515" s="7">
        <f t="shared" si="60"/>
        <v>-0.51915083994137612</v>
      </c>
    </row>
    <row r="516" spans="1:32" x14ac:dyDescent="0.35">
      <c r="A516" t="s">
        <v>40</v>
      </c>
      <c r="B516">
        <v>1973</v>
      </c>
      <c r="E516" s="7">
        <v>1973.24999999997</v>
      </c>
      <c r="F516" s="1">
        <v>0.98455853976353991</v>
      </c>
      <c r="G516" s="7">
        <v>1973.24999999997</v>
      </c>
      <c r="H516" s="1">
        <v>0.99762237862612613</v>
      </c>
      <c r="I516" s="7">
        <v>1973.24999999997</v>
      </c>
      <c r="J516" s="1">
        <v>0.99274363035924351</v>
      </c>
      <c r="L516" s="1">
        <f t="shared" si="56"/>
        <v>0.99164151624963648</v>
      </c>
      <c r="M516" s="1"/>
      <c r="N516" s="1"/>
      <c r="R516" s="7">
        <f t="shared" si="57"/>
        <v>-0.37926341812763487</v>
      </c>
      <c r="S516" s="7">
        <f t="shared" si="61"/>
        <v>-0.96017007401525611</v>
      </c>
      <c r="T516" s="7">
        <f t="shared" si="58"/>
        <v>-0.99488817456811218</v>
      </c>
      <c r="V516" s="7">
        <f t="shared" si="59"/>
        <v>-0.77810722223700102</v>
      </c>
      <c r="AF516" s="7">
        <f t="shared" si="60"/>
        <v>-0.8923621259871819</v>
      </c>
    </row>
    <row r="517" spans="1:32" x14ac:dyDescent="0.35">
      <c r="A517" t="s">
        <v>38</v>
      </c>
      <c r="B517">
        <v>1973</v>
      </c>
      <c r="E517" s="7">
        <v>1973.1666666666299</v>
      </c>
      <c r="F517" s="1">
        <v>0.9795908976261638</v>
      </c>
      <c r="G517" s="7">
        <v>1973.1666666666399</v>
      </c>
      <c r="H517" s="1">
        <v>0.99830566444443403</v>
      </c>
      <c r="I517" s="7">
        <v>1973.1666666666299</v>
      </c>
      <c r="J517" s="1">
        <v>0.99417896260925764</v>
      </c>
      <c r="L517" s="1">
        <f t="shared" ref="L517:L580" si="62">AVERAGE(D517,F517,H517,J517)</f>
        <v>0.99069184155995182</v>
      </c>
      <c r="M517" s="1"/>
      <c r="N517" s="1"/>
      <c r="R517" s="7">
        <f t="shared" ref="R517:R580" si="63">STANDARDIZE(F517, AVERAGE($F$4:$F$747), _xlfn.STDEV.P($F$4:$F$747))</f>
        <v>-0.53226648876889504</v>
      </c>
      <c r="S517" s="7">
        <f t="shared" si="61"/>
        <v>-0.94103784568845494</v>
      </c>
      <c r="T517" s="7">
        <f t="shared" ref="T517:T580" si="64">STANDARDIZE(J517,AVERAGE($J$4:$J$795),_xlfn.STDEV.P($J$4:$J$795))</f>
        <v>-0.95003343021852737</v>
      </c>
      <c r="V517" s="7">
        <f t="shared" ref="V517:V580" si="65">AVERAGE(Q517,R517,S517,T517)</f>
        <v>-0.80777925489195912</v>
      </c>
      <c r="AF517" s="7">
        <f t="shared" ref="AF517:AF580" si="66">STANDARDIZE(L517,L$1,L$2)</f>
        <v>-0.92423828091524729</v>
      </c>
    </row>
    <row r="518" spans="1:32" x14ac:dyDescent="0.35">
      <c r="A518" t="s">
        <v>36</v>
      </c>
      <c r="B518">
        <v>1973</v>
      </c>
      <c r="E518" s="7">
        <v>1973.0833333333001</v>
      </c>
      <c r="F518" s="1">
        <v>0.99165379296218581</v>
      </c>
      <c r="G518" s="7">
        <v>1973.0833333333001</v>
      </c>
      <c r="H518" s="1">
        <v>1.0072296991040743</v>
      </c>
      <c r="I518" s="7">
        <v>1973.0833333333001</v>
      </c>
      <c r="J518" s="1">
        <v>1.0124732364153335</v>
      </c>
      <c r="L518" s="1">
        <f t="shared" si="62"/>
        <v>1.0037855761605312</v>
      </c>
      <c r="M518" s="1"/>
      <c r="N518" s="1"/>
      <c r="R518" s="7">
        <f t="shared" si="63"/>
        <v>-0.16073005836685003</v>
      </c>
      <c r="S518" s="7">
        <f t="shared" si="61"/>
        <v>-0.69116193120314962</v>
      </c>
      <c r="T518" s="7">
        <f t="shared" si="64"/>
        <v>-0.37832957933329958</v>
      </c>
      <c r="V518" s="7">
        <f t="shared" si="65"/>
        <v>-0.41007385630109977</v>
      </c>
      <c r="AF518" s="7">
        <f t="shared" si="66"/>
        <v>-0.48474261229462423</v>
      </c>
    </row>
    <row r="519" spans="1:32" x14ac:dyDescent="0.35">
      <c r="A519" t="s">
        <v>34</v>
      </c>
      <c r="B519">
        <v>1973</v>
      </c>
      <c r="E519" s="7">
        <v>1972.99999999997</v>
      </c>
      <c r="F519" s="1">
        <v>1.0105800158708071</v>
      </c>
      <c r="G519" s="7">
        <v>1972.99999999997</v>
      </c>
      <c r="H519" s="1">
        <v>1.0170982719846409</v>
      </c>
      <c r="I519" s="7">
        <v>1972.99999999997</v>
      </c>
      <c r="J519" s="1">
        <v>1.0359668610347004</v>
      </c>
      <c r="L519" s="1">
        <f t="shared" si="62"/>
        <v>1.0212150496300494</v>
      </c>
      <c r="M519" s="1"/>
      <c r="N519" s="1"/>
      <c r="R519" s="7">
        <f t="shared" si="63"/>
        <v>0.42219643685560299</v>
      </c>
      <c r="S519" s="7">
        <f t="shared" si="61"/>
        <v>-0.41483863493125522</v>
      </c>
      <c r="T519" s="7">
        <f t="shared" si="64"/>
        <v>0.3558561996990029</v>
      </c>
      <c r="V519" s="7">
        <f t="shared" si="65"/>
        <v>0.12107133387445022</v>
      </c>
      <c r="AF519" s="7">
        <f t="shared" si="66"/>
        <v>0.10028361054116966</v>
      </c>
    </row>
    <row r="520" spans="1:32" x14ac:dyDescent="0.35">
      <c r="A520" t="s">
        <v>33</v>
      </c>
      <c r="B520">
        <v>1972</v>
      </c>
      <c r="E520" s="7">
        <v>1972.9166666666299</v>
      </c>
      <c r="F520" s="1">
        <v>1.0195291008684271</v>
      </c>
      <c r="G520" s="7">
        <v>1972.9166666666399</v>
      </c>
      <c r="H520" s="1">
        <v>1.0105271898117956</v>
      </c>
      <c r="I520" s="7">
        <v>1972.9166666666299</v>
      </c>
      <c r="J520" s="1">
        <v>1.0416833520851825</v>
      </c>
      <c r="L520" s="1">
        <f t="shared" si="62"/>
        <v>1.023913214255135</v>
      </c>
      <c r="M520" s="1"/>
      <c r="N520" s="1"/>
      <c r="R520" s="7">
        <f t="shared" si="63"/>
        <v>0.69782770138721262</v>
      </c>
      <c r="S520" s="7">
        <f t="shared" si="61"/>
        <v>-0.59883110355351243</v>
      </c>
      <c r="T520" s="7">
        <f t="shared" si="64"/>
        <v>0.53449898059070233</v>
      </c>
      <c r="V520" s="7">
        <f t="shared" si="65"/>
        <v>0.21116519280813417</v>
      </c>
      <c r="AF520" s="7">
        <f t="shared" si="66"/>
        <v>0.19084842662489107</v>
      </c>
    </row>
    <row r="521" spans="1:32" x14ac:dyDescent="0.35">
      <c r="A521" t="s">
        <v>35</v>
      </c>
      <c r="B521">
        <v>1972</v>
      </c>
      <c r="E521" s="7">
        <v>1972.8333333333001</v>
      </c>
      <c r="F521" s="1">
        <v>1.0163155186698123</v>
      </c>
      <c r="G521" s="7">
        <v>1972.8333333333001</v>
      </c>
      <c r="H521" s="1">
        <v>1.0065107276738039</v>
      </c>
      <c r="I521" s="7">
        <v>1972.8333333333001</v>
      </c>
      <c r="J521" s="1">
        <v>1.0401602673665398</v>
      </c>
      <c r="L521" s="1">
        <f t="shared" si="62"/>
        <v>1.0209955045700518</v>
      </c>
      <c r="M521" s="1"/>
      <c r="N521" s="1"/>
      <c r="R521" s="7">
        <f t="shared" si="63"/>
        <v>0.59884956839193559</v>
      </c>
      <c r="S521" s="7">
        <f t="shared" si="61"/>
        <v>-0.71129336843749091</v>
      </c>
      <c r="T521" s="7">
        <f t="shared" si="64"/>
        <v>0.48690193420871974</v>
      </c>
      <c r="V521" s="7">
        <f t="shared" si="65"/>
        <v>0.12481937805438814</v>
      </c>
      <c r="AF521" s="7">
        <f t="shared" si="66"/>
        <v>9.2914505707495348E-2</v>
      </c>
    </row>
    <row r="522" spans="1:32" x14ac:dyDescent="0.35">
      <c r="A522" t="s">
        <v>37</v>
      </c>
      <c r="B522">
        <v>1972</v>
      </c>
      <c r="E522" s="7">
        <v>1972.74999999997</v>
      </c>
      <c r="F522" s="1">
        <v>1.0168387435502644</v>
      </c>
      <c r="G522" s="7">
        <v>1972.74999999997</v>
      </c>
      <c r="H522" s="1">
        <v>1.0053606351448627</v>
      </c>
      <c r="I522" s="7">
        <v>1972.74999999997</v>
      </c>
      <c r="J522" s="1">
        <v>1.0399774861816304</v>
      </c>
      <c r="L522" s="1">
        <f t="shared" si="62"/>
        <v>1.020725621625586</v>
      </c>
      <c r="M522" s="1"/>
      <c r="N522" s="1"/>
      <c r="R522" s="7">
        <f t="shared" si="63"/>
        <v>0.61496486235458825</v>
      </c>
      <c r="S522" s="7">
        <f t="shared" si="61"/>
        <v>-0.74349633866031972</v>
      </c>
      <c r="T522" s="7">
        <f t="shared" si="64"/>
        <v>0.48118994430468082</v>
      </c>
      <c r="V522" s="7">
        <f t="shared" si="65"/>
        <v>0.11755282266631645</v>
      </c>
      <c r="AF522" s="7">
        <f t="shared" si="66"/>
        <v>8.3855792609547911E-2</v>
      </c>
    </row>
    <row r="523" spans="1:32" x14ac:dyDescent="0.35">
      <c r="A523" t="s">
        <v>39</v>
      </c>
      <c r="B523">
        <v>1972</v>
      </c>
      <c r="E523" s="7">
        <v>1972.6666666666299</v>
      </c>
      <c r="F523" s="1">
        <v>1.0308756781089223</v>
      </c>
      <c r="G523" s="7">
        <v>1972.6666666666399</v>
      </c>
      <c r="H523" s="1">
        <v>1.0061702709736691</v>
      </c>
      <c r="I523" s="7">
        <v>1972.6666666666299</v>
      </c>
      <c r="J523" s="1">
        <v>1.0346597549129852</v>
      </c>
      <c r="L523" s="1">
        <f t="shared" si="62"/>
        <v>1.0239019013318587</v>
      </c>
      <c r="M523" s="1"/>
      <c r="N523" s="1"/>
      <c r="R523" s="7">
        <f t="shared" si="63"/>
        <v>1.0473015787428377</v>
      </c>
      <c r="S523" s="7">
        <f t="shared" si="61"/>
        <v>-0.7208262683570289</v>
      </c>
      <c r="T523" s="7">
        <f t="shared" si="64"/>
        <v>0.31500857649069514</v>
      </c>
      <c r="V523" s="7">
        <f t="shared" si="65"/>
        <v>0.21382796229216797</v>
      </c>
      <c r="AF523" s="7">
        <f t="shared" si="66"/>
        <v>0.19046870449586695</v>
      </c>
    </row>
    <row r="524" spans="1:32" x14ac:dyDescent="0.35">
      <c r="A524" t="s">
        <v>41</v>
      </c>
      <c r="B524">
        <v>1972</v>
      </c>
      <c r="E524" s="7">
        <v>1972.5833333333001</v>
      </c>
      <c r="F524" s="1">
        <v>1.0096240087026129</v>
      </c>
      <c r="G524" s="7">
        <v>1972.5833333333001</v>
      </c>
      <c r="H524" s="1">
        <v>1.0037059830101462</v>
      </c>
      <c r="I524" s="7">
        <v>1972.5833333333001</v>
      </c>
      <c r="J524" s="1">
        <v>1.0178601736068924</v>
      </c>
      <c r="L524" s="1">
        <f t="shared" si="62"/>
        <v>1.0103967217732173</v>
      </c>
      <c r="M524" s="1"/>
      <c r="N524" s="1"/>
      <c r="R524" s="7">
        <f t="shared" si="63"/>
        <v>0.39275147519295966</v>
      </c>
      <c r="S524" s="7">
        <f t="shared" si="61"/>
        <v>-0.78982714429773437</v>
      </c>
      <c r="T524" s="7">
        <f t="shared" si="64"/>
        <v>-0.20998549694243401</v>
      </c>
      <c r="V524" s="7">
        <f t="shared" si="65"/>
        <v>-0.20235372201573623</v>
      </c>
      <c r="AF524" s="7">
        <f t="shared" si="66"/>
        <v>-0.26283725450104356</v>
      </c>
    </row>
    <row r="525" spans="1:32" x14ac:dyDescent="0.35">
      <c r="A525" t="s">
        <v>43</v>
      </c>
      <c r="B525">
        <v>1972</v>
      </c>
      <c r="E525" s="7">
        <v>1972.49999999997</v>
      </c>
      <c r="F525" s="1">
        <v>0.9895872353355446</v>
      </c>
      <c r="G525" s="7">
        <v>1972.49999999997</v>
      </c>
      <c r="H525" s="1">
        <v>1.0083440574403726</v>
      </c>
      <c r="I525" s="7">
        <v>1972.49999999997</v>
      </c>
      <c r="J525" s="1">
        <v>1.0127538011737747</v>
      </c>
      <c r="L525" s="1">
        <f t="shared" si="62"/>
        <v>1.0035616979832307</v>
      </c>
      <c r="M525" s="1"/>
      <c r="N525" s="1"/>
      <c r="R525" s="7">
        <f t="shared" si="63"/>
        <v>-0.22437990547524708</v>
      </c>
      <c r="S525" s="7">
        <f t="shared" si="61"/>
        <v>-0.65995953016293774</v>
      </c>
      <c r="T525" s="7">
        <f t="shared" si="64"/>
        <v>-0.36956181109479014</v>
      </c>
      <c r="V525" s="7">
        <f t="shared" si="65"/>
        <v>-0.41796708224432494</v>
      </c>
      <c r="AF525" s="7">
        <f t="shared" si="66"/>
        <v>-0.49225715968875761</v>
      </c>
    </row>
    <row r="526" spans="1:32" x14ac:dyDescent="0.35">
      <c r="A526" t="s">
        <v>44</v>
      </c>
      <c r="B526">
        <v>1972</v>
      </c>
      <c r="E526" s="7">
        <v>1972.4166666666299</v>
      </c>
      <c r="F526" s="1">
        <v>0.97912120921380918</v>
      </c>
      <c r="G526" s="7">
        <v>1972.4166666666299</v>
      </c>
      <c r="H526" s="1">
        <v>1.012967162930636</v>
      </c>
      <c r="I526" s="7">
        <v>1972.4166666666299</v>
      </c>
      <c r="J526" s="1">
        <v>1.0084057237270854</v>
      </c>
      <c r="L526" s="1">
        <f t="shared" si="62"/>
        <v>1.0001646986238437</v>
      </c>
      <c r="M526" s="1"/>
      <c r="N526" s="1"/>
      <c r="R526" s="7">
        <f t="shared" si="63"/>
        <v>-0.54673286282474309</v>
      </c>
      <c r="S526" s="7">
        <f t="shared" si="61"/>
        <v>-0.5305110512853155</v>
      </c>
      <c r="T526" s="7">
        <f t="shared" si="64"/>
        <v>-0.5054410838426322</v>
      </c>
      <c r="V526" s="7">
        <f t="shared" si="65"/>
        <v>-0.52756166598423027</v>
      </c>
      <c r="AF526" s="7">
        <f t="shared" si="66"/>
        <v>-0.60627860202741202</v>
      </c>
    </row>
    <row r="527" spans="1:32" x14ac:dyDescent="0.35">
      <c r="A527" t="s">
        <v>42</v>
      </c>
      <c r="B527">
        <v>1972</v>
      </c>
      <c r="E527" s="7">
        <v>1972.3333333333001</v>
      </c>
      <c r="F527" s="1">
        <v>0.98678941376961415</v>
      </c>
      <c r="G527" s="7">
        <v>1972.3333333333001</v>
      </c>
      <c r="H527" s="1">
        <v>0.9977609604420935</v>
      </c>
      <c r="I527" s="7">
        <v>1972.3333333333001</v>
      </c>
      <c r="J527" s="1">
        <v>1.001375861479177</v>
      </c>
      <c r="L527" s="1">
        <f t="shared" si="62"/>
        <v>0.99530874523029489</v>
      </c>
      <c r="M527" s="1"/>
      <c r="N527" s="1"/>
      <c r="R527" s="7">
        <f t="shared" si="63"/>
        <v>-0.31055263669372524</v>
      </c>
      <c r="S527" s="7">
        <f t="shared" si="61"/>
        <v>-0.95628973745039592</v>
      </c>
      <c r="T527" s="7">
        <f t="shared" si="64"/>
        <v>-0.72512727422790524</v>
      </c>
      <c r="V527" s="7">
        <f t="shared" si="65"/>
        <v>-0.6639898827906755</v>
      </c>
      <c r="AF527" s="7">
        <f t="shared" si="66"/>
        <v>-0.76927033422533597</v>
      </c>
    </row>
    <row r="528" spans="1:32" x14ac:dyDescent="0.35">
      <c r="A528" t="s">
        <v>40</v>
      </c>
      <c r="B528">
        <v>1972</v>
      </c>
      <c r="E528" s="7">
        <v>1972.24999999997</v>
      </c>
      <c r="F528" s="1">
        <v>0.97378351166756494</v>
      </c>
      <c r="G528" s="7">
        <v>1972.24999999997</v>
      </c>
      <c r="H528" s="1">
        <v>0.98514393468377259</v>
      </c>
      <c r="I528" s="7">
        <v>1972.24999999997</v>
      </c>
      <c r="J528" s="1">
        <v>0.99236880858089405</v>
      </c>
      <c r="L528" s="1">
        <f t="shared" si="62"/>
        <v>0.98376541831074382</v>
      </c>
      <c r="M528" s="1"/>
      <c r="N528" s="1"/>
      <c r="R528" s="7">
        <f t="shared" si="63"/>
        <v>-0.71113361717559098</v>
      </c>
      <c r="S528" s="7">
        <f t="shared" ref="S528:S591" si="67">STANDARDIZE(H528, AVERAGE($H$4:$H$891), _xlfn.STDEV.P($H$4:$H$891))</f>
        <v>-1.3095706210067313</v>
      </c>
      <c r="T528" s="7">
        <f t="shared" si="64"/>
        <v>-1.0066015148378347</v>
      </c>
      <c r="V528" s="7">
        <f t="shared" si="65"/>
        <v>-1.0091019176733855</v>
      </c>
      <c r="AF528" s="7">
        <f t="shared" si="66"/>
        <v>-1.1567260401314299</v>
      </c>
    </row>
    <row r="529" spans="1:32" x14ac:dyDescent="0.35">
      <c r="A529" t="s">
        <v>38</v>
      </c>
      <c r="B529">
        <v>1972</v>
      </c>
      <c r="E529" s="7">
        <v>1972.1666666666299</v>
      </c>
      <c r="F529" s="1">
        <v>0.98239960380841207</v>
      </c>
      <c r="G529" s="7">
        <v>1972.1666666666299</v>
      </c>
      <c r="H529" s="1">
        <v>0.98630281363571948</v>
      </c>
      <c r="I529" s="7">
        <v>1972.1666666666299</v>
      </c>
      <c r="J529" s="1">
        <v>1.0082642172456346</v>
      </c>
      <c r="L529" s="1">
        <f t="shared" si="62"/>
        <v>0.99232221156325551</v>
      </c>
      <c r="M529" s="1"/>
      <c r="N529" s="1"/>
      <c r="R529" s="7">
        <f t="shared" si="63"/>
        <v>-0.44575851204091288</v>
      </c>
      <c r="S529" s="7">
        <f t="shared" si="67"/>
        <v>-1.2771216280411244</v>
      </c>
      <c r="T529" s="7">
        <f t="shared" si="64"/>
        <v>-0.50986322167811882</v>
      </c>
      <c r="V529" s="7">
        <f t="shared" si="65"/>
        <v>-0.74424778725338536</v>
      </c>
      <c r="AF529" s="7">
        <f t="shared" si="66"/>
        <v>-0.86951435557547041</v>
      </c>
    </row>
    <row r="530" spans="1:32" x14ac:dyDescent="0.35">
      <c r="A530" t="s">
        <v>36</v>
      </c>
      <c r="B530">
        <v>1972</v>
      </c>
      <c r="E530" s="7">
        <v>1972.0833333333001</v>
      </c>
      <c r="F530" s="1">
        <v>1.0007308770804177</v>
      </c>
      <c r="G530" s="7">
        <v>1972.0833333333001</v>
      </c>
      <c r="H530" s="1">
        <v>0.99949364981719868</v>
      </c>
      <c r="I530" s="7">
        <v>1972.0833333333001</v>
      </c>
      <c r="J530" s="1">
        <v>1.0370060989553838</v>
      </c>
      <c r="L530" s="1">
        <f t="shared" si="62"/>
        <v>1.0124102086176667</v>
      </c>
      <c r="M530" s="1"/>
      <c r="N530" s="1"/>
      <c r="R530" s="7">
        <f t="shared" si="63"/>
        <v>0.11884357116437752</v>
      </c>
      <c r="S530" s="7">
        <f t="shared" si="67"/>
        <v>-0.9077738633378194</v>
      </c>
      <c r="T530" s="7">
        <f t="shared" si="64"/>
        <v>0.38833282749733222</v>
      </c>
      <c r="V530" s="7">
        <f t="shared" si="65"/>
        <v>-0.13353248822536989</v>
      </c>
      <c r="AF530" s="7">
        <f t="shared" si="66"/>
        <v>-0.19525388169302985</v>
      </c>
    </row>
    <row r="531" spans="1:32" x14ac:dyDescent="0.35">
      <c r="A531" t="s">
        <v>34</v>
      </c>
      <c r="B531">
        <v>1972</v>
      </c>
      <c r="E531" s="7">
        <v>1971.99999999997</v>
      </c>
      <c r="F531" s="1">
        <v>1.0235559926142357</v>
      </c>
      <c r="G531" s="7">
        <v>1971.99999999997</v>
      </c>
      <c r="H531" s="1">
        <v>1.0184920505836883</v>
      </c>
      <c r="I531" s="7">
        <v>1971.99999999997</v>
      </c>
      <c r="J531" s="1">
        <v>1.0608264031223502</v>
      </c>
      <c r="L531" s="1">
        <f t="shared" si="62"/>
        <v>1.0342914821067579</v>
      </c>
      <c r="M531" s="1"/>
      <c r="N531" s="1"/>
      <c r="R531" s="7">
        <f t="shared" si="63"/>
        <v>0.82185571814248148</v>
      </c>
      <c r="S531" s="7">
        <f t="shared" si="67"/>
        <v>-0.37581237435406212</v>
      </c>
      <c r="T531" s="7">
        <f t="shared" si="64"/>
        <v>1.1327274815769783</v>
      </c>
      <c r="V531" s="7">
        <f t="shared" si="65"/>
        <v>0.52625694178846594</v>
      </c>
      <c r="AF531" s="7">
        <f t="shared" si="66"/>
        <v>0.53919852747167973</v>
      </c>
    </row>
    <row r="532" spans="1:32" x14ac:dyDescent="0.35">
      <c r="A532" t="s">
        <v>33</v>
      </c>
      <c r="B532">
        <v>1971</v>
      </c>
      <c r="E532" s="7">
        <v>1971.9166666666299</v>
      </c>
      <c r="F532" s="1">
        <v>1.0353210627741376</v>
      </c>
      <c r="G532" s="7">
        <v>1971.9166666666299</v>
      </c>
      <c r="H532" s="1">
        <v>1.0276411670241314</v>
      </c>
      <c r="I532" s="7">
        <v>1971.9166666666299</v>
      </c>
      <c r="J532" s="1">
        <v>1.0637742305744202</v>
      </c>
      <c r="L532" s="1">
        <f t="shared" si="62"/>
        <v>1.0422454867908966</v>
      </c>
      <c r="M532" s="1"/>
      <c r="N532" s="1"/>
      <c r="R532" s="7">
        <f t="shared" si="63"/>
        <v>1.1842191515369931</v>
      </c>
      <c r="S532" s="7">
        <f t="shared" si="67"/>
        <v>-0.11963409575239491</v>
      </c>
      <c r="T532" s="7">
        <f t="shared" si="64"/>
        <v>1.2248483454034451</v>
      </c>
      <c r="V532" s="7">
        <f t="shared" si="65"/>
        <v>0.76314446706268113</v>
      </c>
      <c r="AF532" s="7">
        <f t="shared" si="66"/>
        <v>0.80617740809695215</v>
      </c>
    </row>
    <row r="533" spans="1:32" x14ac:dyDescent="0.35">
      <c r="A533" t="s">
        <v>35</v>
      </c>
      <c r="B533">
        <v>1971</v>
      </c>
      <c r="E533" s="7">
        <v>1971.8333333333001</v>
      </c>
      <c r="F533" s="1">
        <v>1.0348696413173284</v>
      </c>
      <c r="G533" s="7">
        <v>1971.8333333333001</v>
      </c>
      <c r="H533" s="1">
        <v>1.0215489828448867</v>
      </c>
      <c r="I533" s="7">
        <v>1971.8333333333001</v>
      </c>
      <c r="J533" s="1">
        <v>1.0490831465348676</v>
      </c>
      <c r="L533" s="1">
        <f t="shared" si="62"/>
        <v>1.0351672568990276</v>
      </c>
      <c r="M533" s="1"/>
      <c r="N533" s="1"/>
      <c r="R533" s="7">
        <f t="shared" si="63"/>
        <v>1.1703153985823485</v>
      </c>
      <c r="S533" s="7">
        <f t="shared" si="67"/>
        <v>-0.29021726256665764</v>
      </c>
      <c r="T533" s="7">
        <f t="shared" si="64"/>
        <v>0.76574570989455015</v>
      </c>
      <c r="V533" s="7">
        <f t="shared" si="65"/>
        <v>0.5486146153034136</v>
      </c>
      <c r="AF533" s="7">
        <f t="shared" si="66"/>
        <v>0.56859420713304987</v>
      </c>
    </row>
    <row r="534" spans="1:32" x14ac:dyDescent="0.35">
      <c r="A534" t="s">
        <v>37</v>
      </c>
      <c r="B534">
        <v>1971</v>
      </c>
      <c r="E534" s="7">
        <v>1971.74999999996</v>
      </c>
      <c r="F534" s="1">
        <v>1.0311800985016344</v>
      </c>
      <c r="G534" s="7">
        <v>1971.74999999997</v>
      </c>
      <c r="H534" s="1">
        <v>1.0107038550974379</v>
      </c>
      <c r="I534" s="7">
        <v>1971.74999999996</v>
      </c>
      <c r="J534" s="1">
        <v>1.0402182648393006</v>
      </c>
      <c r="L534" s="1">
        <f t="shared" si="62"/>
        <v>1.0273674061461242</v>
      </c>
      <c r="M534" s="1"/>
      <c r="N534" s="1"/>
      <c r="R534" s="7">
        <f t="shared" si="63"/>
        <v>1.0566777080135674</v>
      </c>
      <c r="S534" s="7">
        <f t="shared" si="67"/>
        <v>-0.59388441727411845</v>
      </c>
      <c r="T534" s="7">
        <f t="shared" si="64"/>
        <v>0.48871437994285716</v>
      </c>
      <c r="V534" s="7">
        <f t="shared" si="65"/>
        <v>0.31716922356076871</v>
      </c>
      <c r="AF534" s="7">
        <f t="shared" si="66"/>
        <v>0.30678955579723916</v>
      </c>
    </row>
    <row r="535" spans="1:32" x14ac:dyDescent="0.35">
      <c r="A535" t="s">
        <v>39</v>
      </c>
      <c r="B535">
        <v>1971</v>
      </c>
      <c r="E535" s="7">
        <v>1971.6666666666299</v>
      </c>
      <c r="F535" s="1">
        <v>1.0224731400976517</v>
      </c>
      <c r="G535" s="7">
        <v>1971.6666666666299</v>
      </c>
      <c r="H535" s="1">
        <v>1.0014583132699351</v>
      </c>
      <c r="I535" s="7">
        <v>1971.6666666666299</v>
      </c>
      <c r="J535" s="1">
        <v>1.0396679901619985</v>
      </c>
      <c r="L535" s="1">
        <f t="shared" si="62"/>
        <v>1.0211998145098617</v>
      </c>
      <c r="M535" s="1"/>
      <c r="N535" s="1"/>
      <c r="R535" s="7">
        <f t="shared" si="63"/>
        <v>0.78850392759331711</v>
      </c>
      <c r="S535" s="7">
        <f t="shared" si="67"/>
        <v>-0.85276263852393608</v>
      </c>
      <c r="T535" s="7">
        <f t="shared" si="64"/>
        <v>0.47151806182752787</v>
      </c>
      <c r="V535" s="7">
        <f t="shared" si="65"/>
        <v>0.1357531169656363</v>
      </c>
      <c r="AF535" s="7">
        <f t="shared" si="66"/>
        <v>9.9772238534814331E-2</v>
      </c>
    </row>
    <row r="536" spans="1:32" x14ac:dyDescent="0.35">
      <c r="A536" t="s">
        <v>41</v>
      </c>
      <c r="B536">
        <v>1971</v>
      </c>
      <c r="E536" s="7">
        <v>1971.5833333333001</v>
      </c>
      <c r="F536" s="1">
        <v>1.0138209555669162</v>
      </c>
      <c r="G536" s="7">
        <v>1971.5833333333001</v>
      </c>
      <c r="H536" s="1">
        <v>0.98692153259277393</v>
      </c>
      <c r="I536" s="7">
        <v>1971.5833333333001</v>
      </c>
      <c r="J536" s="1">
        <v>1.0379783213971685</v>
      </c>
      <c r="L536" s="1">
        <f t="shared" si="62"/>
        <v>1.0129069365189529</v>
      </c>
      <c r="M536" s="1"/>
      <c r="N536" s="1"/>
      <c r="R536" s="7">
        <f t="shared" si="63"/>
        <v>0.52201717908196588</v>
      </c>
      <c r="S536" s="7">
        <f t="shared" si="67"/>
        <v>-1.259797293129856</v>
      </c>
      <c r="T536" s="7">
        <f t="shared" si="64"/>
        <v>0.41871519302751126</v>
      </c>
      <c r="V536" s="7">
        <f t="shared" si="65"/>
        <v>-0.10635497367345963</v>
      </c>
      <c r="AF536" s="7">
        <f t="shared" si="66"/>
        <v>-0.17858104023428886</v>
      </c>
    </row>
    <row r="537" spans="1:32" x14ac:dyDescent="0.35">
      <c r="A537" t="s">
        <v>43</v>
      </c>
      <c r="B537">
        <v>1971</v>
      </c>
      <c r="E537" s="7">
        <v>1971.49999999996</v>
      </c>
      <c r="F537" s="1">
        <v>1.0180125288209294</v>
      </c>
      <c r="G537" s="7">
        <v>1971.49999999997</v>
      </c>
      <c r="H537" s="1">
        <v>0.97743209066903092</v>
      </c>
      <c r="I537" s="7">
        <v>1971.49999999996</v>
      </c>
      <c r="J537" s="1">
        <v>1.0322842310822162</v>
      </c>
      <c r="L537" s="1">
        <f t="shared" si="62"/>
        <v>1.0092429501907254</v>
      </c>
      <c r="M537" s="1"/>
      <c r="N537" s="1"/>
      <c r="R537" s="7">
        <f t="shared" si="63"/>
        <v>0.65111737610633214</v>
      </c>
      <c r="S537" s="7">
        <f t="shared" si="67"/>
        <v>-1.5255047975363945</v>
      </c>
      <c r="T537" s="7">
        <f t="shared" si="64"/>
        <v>0.24077244466516085</v>
      </c>
      <c r="V537" s="7">
        <f t="shared" si="65"/>
        <v>-0.21120499225496717</v>
      </c>
      <c r="AF537" s="7">
        <f t="shared" si="66"/>
        <v>-0.30156399126110406</v>
      </c>
    </row>
    <row r="538" spans="1:32" x14ac:dyDescent="0.35">
      <c r="A538" t="s">
        <v>44</v>
      </c>
      <c r="B538">
        <v>1971</v>
      </c>
      <c r="E538" s="7">
        <v>1971.4166666666299</v>
      </c>
      <c r="F538" s="1">
        <v>1.0107014984722904</v>
      </c>
      <c r="G538" s="7">
        <v>1971.4166666666299</v>
      </c>
      <c r="H538" s="1">
        <v>0.96845189341680127</v>
      </c>
      <c r="I538" s="7">
        <v>1971.4166666666299</v>
      </c>
      <c r="J538" s="1">
        <v>1.0241955930179054</v>
      </c>
      <c r="L538" s="1">
        <f t="shared" si="62"/>
        <v>1.0011163283023323</v>
      </c>
      <c r="M538" s="1"/>
      <c r="N538" s="1"/>
      <c r="R538" s="7">
        <f t="shared" si="63"/>
        <v>0.42593809346902495</v>
      </c>
      <c r="S538" s="7">
        <f t="shared" si="67"/>
        <v>-1.7769532831420916</v>
      </c>
      <c r="T538" s="7">
        <f t="shared" si="64"/>
        <v>-1.2000941083964451E-2</v>
      </c>
      <c r="V538" s="7">
        <f t="shared" si="65"/>
        <v>-0.45433871025234374</v>
      </c>
      <c r="AF538" s="7">
        <f t="shared" si="66"/>
        <v>-0.57433682723322366</v>
      </c>
    </row>
    <row r="539" spans="1:32" x14ac:dyDescent="0.35">
      <c r="A539" t="s">
        <v>42</v>
      </c>
      <c r="B539">
        <v>1971</v>
      </c>
      <c r="E539" s="7">
        <v>1971.3333333333001</v>
      </c>
      <c r="F539" s="1">
        <v>0.99632663296526081</v>
      </c>
      <c r="G539" s="7">
        <v>1971.3333333333001</v>
      </c>
      <c r="H539" s="1">
        <v>0.9633508158067231</v>
      </c>
      <c r="I539" s="7">
        <v>1971.3333333333001</v>
      </c>
      <c r="J539" s="1">
        <v>1.0119067892487241</v>
      </c>
      <c r="L539" s="1">
        <f t="shared" si="62"/>
        <v>0.99052807934023601</v>
      </c>
      <c r="M539" s="1"/>
      <c r="N539" s="1"/>
      <c r="R539" s="7">
        <f t="shared" si="63"/>
        <v>-1.6806875232037964E-2</v>
      </c>
      <c r="S539" s="7">
        <f t="shared" si="67"/>
        <v>-1.9197851390562608</v>
      </c>
      <c r="T539" s="7">
        <f t="shared" si="64"/>
        <v>-0.39603129462992132</v>
      </c>
      <c r="V539" s="7">
        <f t="shared" si="65"/>
        <v>-0.77754110297274004</v>
      </c>
      <c r="AF539" s="7">
        <f t="shared" si="66"/>
        <v>-0.92973501568529637</v>
      </c>
    </row>
    <row r="540" spans="1:32" x14ac:dyDescent="0.35">
      <c r="A540" t="s">
        <v>40</v>
      </c>
      <c r="B540">
        <v>1971</v>
      </c>
      <c r="E540" s="7">
        <v>1971.24999999996</v>
      </c>
      <c r="F540" s="1">
        <v>0.98700848277622666</v>
      </c>
      <c r="G540" s="7">
        <v>1971.24999999997</v>
      </c>
      <c r="H540" s="1">
        <v>0.95996601959039785</v>
      </c>
      <c r="I540" s="7">
        <v>1971.24999999996</v>
      </c>
      <c r="J540" s="1">
        <v>0.99837903387602134</v>
      </c>
      <c r="L540" s="1">
        <f t="shared" si="62"/>
        <v>0.98178451208088191</v>
      </c>
      <c r="M540" s="1"/>
      <c r="N540" s="1"/>
      <c r="R540" s="7">
        <f t="shared" si="63"/>
        <v>-0.30380532483688766</v>
      </c>
      <c r="S540" s="7">
        <f t="shared" si="67"/>
        <v>-2.0145605497486665</v>
      </c>
      <c r="T540" s="7">
        <f t="shared" si="64"/>
        <v>-0.81877941365276885</v>
      </c>
      <c r="V540" s="7">
        <f t="shared" si="65"/>
        <v>-1.045715096079441</v>
      </c>
      <c r="AF540" s="7">
        <f t="shared" si="66"/>
        <v>-1.2232158334963723</v>
      </c>
    </row>
    <row r="541" spans="1:32" x14ac:dyDescent="0.35">
      <c r="A541" t="s">
        <v>38</v>
      </c>
      <c r="B541">
        <v>1971</v>
      </c>
      <c r="E541" s="7">
        <v>1971.1666666666299</v>
      </c>
      <c r="F541" s="1">
        <v>0.99597840110017855</v>
      </c>
      <c r="G541" s="7">
        <v>1971.1666666666299</v>
      </c>
      <c r="H541" s="1">
        <v>0.96818134514745502</v>
      </c>
      <c r="I541" s="7">
        <v>1971.1666666666299</v>
      </c>
      <c r="J541" s="1">
        <v>1.0141038259749391</v>
      </c>
      <c r="L541" s="1">
        <f t="shared" si="62"/>
        <v>0.99275452407419085</v>
      </c>
      <c r="M541" s="1"/>
      <c r="N541" s="1"/>
      <c r="R541" s="7">
        <f t="shared" si="63"/>
        <v>-2.7532395142548568E-2</v>
      </c>
      <c r="S541" s="7">
        <f t="shared" si="67"/>
        <v>-1.7845287239369434</v>
      </c>
      <c r="T541" s="7">
        <f t="shared" si="64"/>
        <v>-0.32737296086779022</v>
      </c>
      <c r="V541" s="7">
        <f t="shared" si="65"/>
        <v>-0.71314469331576069</v>
      </c>
      <c r="AF541" s="7">
        <f t="shared" si="66"/>
        <v>-0.8550036386683032</v>
      </c>
    </row>
    <row r="542" spans="1:32" x14ac:dyDescent="0.35">
      <c r="A542" t="s">
        <v>36</v>
      </c>
      <c r="B542">
        <v>1971</v>
      </c>
      <c r="E542" s="7">
        <v>1971.0833333333001</v>
      </c>
      <c r="F542" s="1">
        <v>1.0195165466681733</v>
      </c>
      <c r="G542" s="7">
        <v>1971.0833333333001</v>
      </c>
      <c r="H542" s="1">
        <v>0.99302047598172727</v>
      </c>
      <c r="I542" s="7">
        <v>1971.0833333333001</v>
      </c>
      <c r="J542" s="1">
        <v>1.0401577464281686</v>
      </c>
      <c r="L542" s="1">
        <f t="shared" si="62"/>
        <v>1.0175649230260231</v>
      </c>
      <c r="M542" s="1"/>
      <c r="N542" s="1"/>
      <c r="R542" s="7">
        <f t="shared" si="63"/>
        <v>0.69744103279572411</v>
      </c>
      <c r="S542" s="7">
        <f t="shared" si="67"/>
        <v>-1.0890248662139068</v>
      </c>
      <c r="T542" s="7">
        <f t="shared" si="64"/>
        <v>0.48682315381055163</v>
      </c>
      <c r="V542" s="7">
        <f t="shared" si="65"/>
        <v>3.1746440130789644E-2</v>
      </c>
      <c r="AF542" s="7">
        <f t="shared" si="66"/>
        <v>-2.2234134114772881E-2</v>
      </c>
    </row>
    <row r="543" spans="1:32" x14ac:dyDescent="0.35">
      <c r="A543" t="s">
        <v>34</v>
      </c>
      <c r="B543">
        <v>1971</v>
      </c>
      <c r="E543" s="7">
        <v>1970.99999999996</v>
      </c>
      <c r="F543" s="1">
        <v>1.0420845087270834</v>
      </c>
      <c r="G543" s="7">
        <v>1970.99999999997</v>
      </c>
      <c r="H543" s="1">
        <v>1.0422704661524824</v>
      </c>
      <c r="I543" s="7">
        <v>1970.99999999996</v>
      </c>
      <c r="J543" s="1">
        <v>1.0810756258610852</v>
      </c>
      <c r="L543" s="1">
        <f t="shared" si="62"/>
        <v>1.0551435335802168</v>
      </c>
      <c r="M543" s="1"/>
      <c r="N543" s="1"/>
      <c r="R543" s="7">
        <f t="shared" si="63"/>
        <v>1.3925328686485681</v>
      </c>
      <c r="S543" s="7">
        <f t="shared" si="67"/>
        <v>0.28999110600843264</v>
      </c>
      <c r="T543" s="7">
        <f t="shared" si="64"/>
        <v>1.7655243195319634</v>
      </c>
      <c r="V543" s="7">
        <f t="shared" si="65"/>
        <v>1.1493494313963213</v>
      </c>
      <c r="AF543" s="7">
        <f t="shared" si="66"/>
        <v>1.2391047485763873</v>
      </c>
    </row>
    <row r="544" spans="1:32" x14ac:dyDescent="0.35">
      <c r="A544" t="s">
        <v>33</v>
      </c>
      <c r="B544">
        <v>1970</v>
      </c>
      <c r="E544" s="7">
        <v>1970.9166666666299</v>
      </c>
      <c r="F544" s="1">
        <v>1.0502513605436559</v>
      </c>
      <c r="G544" s="7">
        <v>1970.9166666666299</v>
      </c>
      <c r="H544" s="1">
        <v>1.0532638368835563</v>
      </c>
      <c r="I544" s="7">
        <v>1970.9166666666299</v>
      </c>
      <c r="J544" s="1">
        <v>1.0944122646916981</v>
      </c>
      <c r="L544" s="1">
        <f t="shared" si="62"/>
        <v>1.0659758207063035</v>
      </c>
      <c r="M544" s="1"/>
      <c r="N544" s="1"/>
      <c r="R544" s="7">
        <f t="shared" si="63"/>
        <v>1.6440713995757894</v>
      </c>
      <c r="S544" s="7">
        <f t="shared" si="67"/>
        <v>0.59780911316236163</v>
      </c>
      <c r="T544" s="7">
        <f t="shared" si="64"/>
        <v>2.1822999651875223</v>
      </c>
      <c r="V544" s="7">
        <f t="shared" si="65"/>
        <v>1.4747268259752246</v>
      </c>
      <c r="AF544" s="7">
        <f t="shared" si="66"/>
        <v>1.602694161253146</v>
      </c>
    </row>
    <row r="545" spans="1:32" x14ac:dyDescent="0.35">
      <c r="A545" t="s">
        <v>35</v>
      </c>
      <c r="B545">
        <v>1970</v>
      </c>
      <c r="E545" s="7">
        <v>1970.8333333333001</v>
      </c>
      <c r="F545" s="1">
        <v>1.0561902192469732</v>
      </c>
      <c r="G545" s="7">
        <v>1970.8333333333001</v>
      </c>
      <c r="H545" s="1">
        <v>1.0459094503497095</v>
      </c>
      <c r="I545" s="7">
        <v>1970.8333333333001</v>
      </c>
      <c r="J545" s="1">
        <v>1.0901676693056699</v>
      </c>
      <c r="L545" s="1">
        <f t="shared" si="62"/>
        <v>1.0640891129674508</v>
      </c>
      <c r="M545" s="1"/>
      <c r="N545" s="1"/>
      <c r="R545" s="7">
        <f t="shared" si="63"/>
        <v>1.8269878803897797</v>
      </c>
      <c r="S545" s="7">
        <f t="shared" si="67"/>
        <v>0.39188386402203051</v>
      </c>
      <c r="T545" s="7">
        <f t="shared" si="64"/>
        <v>2.0496545509248341</v>
      </c>
      <c r="V545" s="7">
        <f t="shared" si="65"/>
        <v>1.4228420984455479</v>
      </c>
      <c r="AF545" s="7">
        <f t="shared" si="66"/>
        <v>1.5393661723734817</v>
      </c>
    </row>
    <row r="546" spans="1:32" x14ac:dyDescent="0.35">
      <c r="A546" t="s">
        <v>37</v>
      </c>
      <c r="B546">
        <v>1970</v>
      </c>
      <c r="E546" s="7">
        <v>1970.74999999996</v>
      </c>
      <c r="F546" s="1">
        <v>1.0584434055415897</v>
      </c>
      <c r="G546" s="7">
        <v>1970.74999999996</v>
      </c>
      <c r="H546" s="1">
        <v>1.0271067609479756</v>
      </c>
      <c r="I546" s="7">
        <v>1970.74999999996</v>
      </c>
      <c r="J546" s="1">
        <v>1.0804102033006233</v>
      </c>
      <c r="L546" s="1">
        <f t="shared" si="62"/>
        <v>1.0553201232633962</v>
      </c>
      <c r="M546" s="1"/>
      <c r="N546" s="1"/>
      <c r="R546" s="7">
        <f t="shared" si="63"/>
        <v>1.8963858789310384</v>
      </c>
      <c r="S546" s="7">
        <f t="shared" si="67"/>
        <v>-0.13459764218390644</v>
      </c>
      <c r="T546" s="7">
        <f t="shared" si="64"/>
        <v>1.7447295810080645</v>
      </c>
      <c r="V546" s="7">
        <f t="shared" si="65"/>
        <v>1.1688392725850656</v>
      </c>
      <c r="AF546" s="7">
        <f t="shared" si="66"/>
        <v>1.2450320415335072</v>
      </c>
    </row>
    <row r="547" spans="1:32" x14ac:dyDescent="0.35">
      <c r="A547" t="s">
        <v>39</v>
      </c>
      <c r="B547">
        <v>1970</v>
      </c>
      <c r="E547" s="7">
        <v>1970.6666666666299</v>
      </c>
      <c r="F547" s="1">
        <v>1.0606248780166747</v>
      </c>
      <c r="G547" s="7">
        <v>1970.6666666666299</v>
      </c>
      <c r="H547" s="1">
        <v>1.0176947180440028</v>
      </c>
      <c r="I547" s="7">
        <v>1970.6666666666299</v>
      </c>
      <c r="J547" s="1">
        <v>1.0551150143958645</v>
      </c>
      <c r="L547" s="1">
        <f t="shared" si="62"/>
        <v>1.0444782034855142</v>
      </c>
      <c r="M547" s="1"/>
      <c r="N547" s="1"/>
      <c r="R547" s="7">
        <f t="shared" si="63"/>
        <v>1.9635750962653811</v>
      </c>
      <c r="S547" s="7">
        <f t="shared" si="67"/>
        <v>-0.39813794850314732</v>
      </c>
      <c r="T547" s="7">
        <f t="shared" si="64"/>
        <v>0.95424415048405964</v>
      </c>
      <c r="V547" s="7">
        <f t="shared" si="65"/>
        <v>0.83989376608209776</v>
      </c>
      <c r="AF547" s="7">
        <f t="shared" si="66"/>
        <v>0.88111930561318841</v>
      </c>
    </row>
    <row r="548" spans="1:32" x14ac:dyDescent="0.35">
      <c r="A548" t="s">
        <v>41</v>
      </c>
      <c r="B548">
        <v>1970</v>
      </c>
      <c r="E548" s="7">
        <v>1970.5833333333001</v>
      </c>
      <c r="F548" s="1">
        <v>1.0451106421100356</v>
      </c>
      <c r="G548" s="7">
        <v>1970.5833333333001</v>
      </c>
      <c r="H548" s="1">
        <v>1.0227307530773548</v>
      </c>
      <c r="I548" s="7">
        <v>1970.5833333333001</v>
      </c>
      <c r="J548" s="1">
        <v>1.0319700051691085</v>
      </c>
      <c r="L548" s="1">
        <f t="shared" si="62"/>
        <v>1.0332704667854997</v>
      </c>
      <c r="M548" s="1"/>
      <c r="N548" s="1"/>
      <c r="R548" s="7">
        <f t="shared" si="63"/>
        <v>1.4857375897129304</v>
      </c>
      <c r="S548" s="7">
        <f t="shared" si="67"/>
        <v>-0.25712730619468332</v>
      </c>
      <c r="T548" s="7">
        <f t="shared" si="64"/>
        <v>0.23095275100167487</v>
      </c>
      <c r="V548" s="7">
        <f t="shared" si="65"/>
        <v>0.48652101150664068</v>
      </c>
      <c r="AF548" s="7">
        <f t="shared" si="66"/>
        <v>0.50492779990794723</v>
      </c>
    </row>
    <row r="549" spans="1:32" x14ac:dyDescent="0.35">
      <c r="A549" t="s">
        <v>43</v>
      </c>
      <c r="B549">
        <v>1970</v>
      </c>
      <c r="E549" s="7">
        <v>1970.49999999996</v>
      </c>
      <c r="F549" s="1">
        <v>1.0255537641451582</v>
      </c>
      <c r="G549" s="7">
        <v>1970.49999999996</v>
      </c>
      <c r="H549" s="1">
        <v>1.0268407158753907</v>
      </c>
      <c r="I549" s="7">
        <v>1970.49999999996</v>
      </c>
      <c r="J549" s="1">
        <v>1.0168042979481089</v>
      </c>
      <c r="L549" s="1">
        <f t="shared" si="62"/>
        <v>1.0230662593228861</v>
      </c>
      <c r="M549" s="1"/>
      <c r="N549" s="1"/>
      <c r="R549" s="7">
        <f t="shared" si="63"/>
        <v>0.88338695775634923</v>
      </c>
      <c r="S549" s="7">
        <f t="shared" si="67"/>
        <v>-0.14204699198384707</v>
      </c>
      <c r="T549" s="7">
        <f t="shared" si="64"/>
        <v>-0.24298206114505508</v>
      </c>
      <c r="V549" s="7">
        <f t="shared" si="65"/>
        <v>0.16611930154248236</v>
      </c>
      <c r="AF549" s="7">
        <f t="shared" si="66"/>
        <v>0.16242009539662422</v>
      </c>
    </row>
    <row r="550" spans="1:32" x14ac:dyDescent="0.35">
      <c r="A550" t="s">
        <v>44</v>
      </c>
      <c r="B550">
        <v>1970</v>
      </c>
      <c r="E550" s="7">
        <v>1970.4166666666299</v>
      </c>
      <c r="F550" s="1">
        <v>1.00113207146253</v>
      </c>
      <c r="G550" s="7">
        <v>1970.4166666666299</v>
      </c>
      <c r="H550" s="1">
        <v>0.99402339647235916</v>
      </c>
      <c r="I550" s="7">
        <v>1970.4166666666299</v>
      </c>
      <c r="J550" s="1">
        <v>1.010472059149029</v>
      </c>
      <c r="L550" s="1">
        <f t="shared" si="62"/>
        <v>1.0018758423613061</v>
      </c>
      <c r="M550" s="1"/>
      <c r="N550" s="1"/>
      <c r="R550" s="7">
        <f t="shared" si="63"/>
        <v>0.13120033332430733</v>
      </c>
      <c r="S550" s="7">
        <f t="shared" si="67"/>
        <v>-1.060942761615403</v>
      </c>
      <c r="T550" s="7">
        <f t="shared" si="64"/>
        <v>-0.44086722152548402</v>
      </c>
      <c r="V550" s="7">
        <f t="shared" si="65"/>
        <v>-0.45686988327219319</v>
      </c>
      <c r="AF550" s="7">
        <f t="shared" si="66"/>
        <v>-0.54884347874572048</v>
      </c>
    </row>
    <row r="551" spans="1:32" x14ac:dyDescent="0.35">
      <c r="A551" t="s">
        <v>42</v>
      </c>
      <c r="B551">
        <v>1970</v>
      </c>
      <c r="E551" s="7">
        <v>1970.3333333333001</v>
      </c>
      <c r="F551" s="1">
        <v>0.99418957926347318</v>
      </c>
      <c r="G551" s="7">
        <v>1970.3333333333001</v>
      </c>
      <c r="H551" s="1">
        <v>0.97264320993189668</v>
      </c>
      <c r="I551" s="7">
        <v>1970.3333333333001</v>
      </c>
      <c r="J551" s="1">
        <v>1.0005190223503322</v>
      </c>
      <c r="L551" s="1">
        <f t="shared" si="62"/>
        <v>0.98911727051523401</v>
      </c>
      <c r="M551" s="1"/>
      <c r="N551" s="1"/>
      <c r="R551" s="7">
        <f t="shared" si="63"/>
        <v>-8.2627997095596123E-2</v>
      </c>
      <c r="S551" s="7">
        <f t="shared" si="67"/>
        <v>-1.6595950380152129</v>
      </c>
      <c r="T551" s="7">
        <f t="shared" si="64"/>
        <v>-0.75190386206857918</v>
      </c>
      <c r="V551" s="7">
        <f t="shared" si="65"/>
        <v>-0.83137563239312939</v>
      </c>
      <c r="AF551" s="7">
        <f t="shared" si="66"/>
        <v>-0.97708929517502208</v>
      </c>
    </row>
    <row r="552" spans="1:32" x14ac:dyDescent="0.35">
      <c r="A552" t="s">
        <v>40</v>
      </c>
      <c r="B552">
        <v>1970</v>
      </c>
      <c r="E552" s="7">
        <v>1970.24999999996</v>
      </c>
      <c r="F552" s="1">
        <v>0.99417459134635122</v>
      </c>
      <c r="G552" s="7">
        <v>1970.24999999996</v>
      </c>
      <c r="H552" s="1">
        <v>0.96877481532387844</v>
      </c>
      <c r="I552" s="7">
        <v>1970.24999999996</v>
      </c>
      <c r="J552" s="1">
        <v>0.99052531359066354</v>
      </c>
      <c r="L552" s="1">
        <f t="shared" si="62"/>
        <v>0.98449157342029769</v>
      </c>
      <c r="M552" s="1"/>
      <c r="N552" s="1"/>
      <c r="R552" s="7">
        <f t="shared" si="63"/>
        <v>-8.308962401612692E-2</v>
      </c>
      <c r="S552" s="7">
        <f t="shared" si="67"/>
        <v>-1.7679113632128498</v>
      </c>
      <c r="T552" s="7">
        <f t="shared" si="64"/>
        <v>-1.0642115187207097</v>
      </c>
      <c r="V552" s="7">
        <f t="shared" si="65"/>
        <v>-0.97173750198322884</v>
      </c>
      <c r="AF552" s="7">
        <f t="shared" si="66"/>
        <v>-1.132352396161165</v>
      </c>
    </row>
    <row r="553" spans="1:32" x14ac:dyDescent="0.35">
      <c r="A553" t="s">
        <v>38</v>
      </c>
      <c r="B553">
        <v>1970</v>
      </c>
      <c r="E553" s="7">
        <v>1970.1666666666299</v>
      </c>
      <c r="F553" s="1">
        <v>0.99087954559846247</v>
      </c>
      <c r="G553" s="7">
        <v>1970.1666666666299</v>
      </c>
      <c r="H553" s="1">
        <v>0.97227836885240515</v>
      </c>
      <c r="I553" s="7">
        <v>1970.1666666666299</v>
      </c>
      <c r="J553" s="1">
        <v>0.99908210721033386</v>
      </c>
      <c r="L553" s="1">
        <f t="shared" si="62"/>
        <v>0.98741334055373386</v>
      </c>
      <c r="M553" s="1"/>
      <c r="N553" s="1"/>
      <c r="R553" s="7">
        <f t="shared" si="63"/>
        <v>-0.18457682929148478</v>
      </c>
      <c r="S553" s="7">
        <f t="shared" si="67"/>
        <v>-1.6698107086010807</v>
      </c>
      <c r="T553" s="7">
        <f t="shared" si="64"/>
        <v>-0.79680807240457507</v>
      </c>
      <c r="V553" s="7">
        <f t="shared" si="65"/>
        <v>-0.88373187009904697</v>
      </c>
      <c r="AF553" s="7">
        <f t="shared" si="66"/>
        <v>-1.0342822856056577</v>
      </c>
    </row>
    <row r="554" spans="1:32" x14ac:dyDescent="0.35">
      <c r="A554" t="s">
        <v>36</v>
      </c>
      <c r="B554">
        <v>1970</v>
      </c>
      <c r="E554" s="7">
        <v>1970.0833333333001</v>
      </c>
      <c r="F554" s="1">
        <v>0.98978149442752683</v>
      </c>
      <c r="G554" s="7">
        <v>1970.0833333333001</v>
      </c>
      <c r="H554" s="1">
        <v>0.98665682900100382</v>
      </c>
      <c r="I554" s="7">
        <v>1970.0833333333001</v>
      </c>
      <c r="J554" s="1">
        <v>1.0336917878676934</v>
      </c>
      <c r="L554" s="1">
        <f t="shared" si="62"/>
        <v>1.003376703765408</v>
      </c>
      <c r="M554" s="1"/>
      <c r="N554" s="1"/>
      <c r="R554" s="7">
        <f t="shared" si="63"/>
        <v>-0.21839673745482213</v>
      </c>
      <c r="S554" s="7">
        <f t="shared" si="67"/>
        <v>-1.2672090810244323</v>
      </c>
      <c r="T554" s="7">
        <f t="shared" si="64"/>
        <v>0.2847591939139722</v>
      </c>
      <c r="V554" s="7">
        <f t="shared" si="65"/>
        <v>-0.40028220818842741</v>
      </c>
      <c r="AF554" s="7">
        <f t="shared" si="66"/>
        <v>-0.49846655371827597</v>
      </c>
    </row>
    <row r="555" spans="1:32" x14ac:dyDescent="0.35">
      <c r="A555" t="s">
        <v>34</v>
      </c>
      <c r="B555">
        <v>1970</v>
      </c>
      <c r="E555" s="7">
        <v>1969.99999999996</v>
      </c>
      <c r="F555" s="1">
        <v>1.0036313231616865</v>
      </c>
      <c r="G555" s="7">
        <v>1969.99999999996</v>
      </c>
      <c r="H555" s="1">
        <v>0.99895138017956209</v>
      </c>
      <c r="I555" s="7">
        <v>1969.99999999996</v>
      </c>
      <c r="J555" s="1">
        <v>1.0614967258966022</v>
      </c>
      <c r="L555" s="1">
        <f t="shared" si="62"/>
        <v>1.0213598097459504</v>
      </c>
      <c r="M555" s="1"/>
      <c r="N555" s="1"/>
      <c r="R555" s="7">
        <f t="shared" si="63"/>
        <v>0.20817713110916161</v>
      </c>
      <c r="S555" s="7">
        <f t="shared" si="67"/>
        <v>-0.92295759208495998</v>
      </c>
      <c r="T555" s="7">
        <f t="shared" si="64"/>
        <v>1.1536753538695985</v>
      </c>
      <c r="V555" s="7">
        <f t="shared" si="65"/>
        <v>0.1462982976312667</v>
      </c>
      <c r="AF555" s="7">
        <f t="shared" si="66"/>
        <v>0.10514253321436237</v>
      </c>
    </row>
    <row r="556" spans="1:32" x14ac:dyDescent="0.35">
      <c r="A556" t="s">
        <v>33</v>
      </c>
      <c r="B556">
        <v>1969</v>
      </c>
      <c r="E556" s="7">
        <v>1969.9166666666299</v>
      </c>
      <c r="F556" s="1">
        <v>1.0072239334342543</v>
      </c>
      <c r="G556" s="7">
        <v>1969.9166666666299</v>
      </c>
      <c r="H556" s="1">
        <v>0.99497893272632243</v>
      </c>
      <c r="I556" s="7">
        <v>1969.9166666666299</v>
      </c>
      <c r="J556" s="1">
        <v>1.0893097889027454</v>
      </c>
      <c r="L556" s="1">
        <f t="shared" si="62"/>
        <v>1.0305042183544406</v>
      </c>
      <c r="M556" s="1"/>
      <c r="N556" s="1"/>
      <c r="R556" s="7">
        <f t="shared" si="63"/>
        <v>0.31882930534378878</v>
      </c>
      <c r="S556" s="7">
        <f t="shared" si="67"/>
        <v>-1.0341874312755543</v>
      </c>
      <c r="T556" s="7">
        <f t="shared" si="64"/>
        <v>2.0228454228255273</v>
      </c>
      <c r="V556" s="7">
        <f t="shared" si="65"/>
        <v>0.43582909896458721</v>
      </c>
      <c r="AF556" s="7">
        <f t="shared" si="66"/>
        <v>0.41207772765084849</v>
      </c>
    </row>
    <row r="557" spans="1:32" x14ac:dyDescent="0.35">
      <c r="A557" t="s">
        <v>35</v>
      </c>
      <c r="B557">
        <v>1969</v>
      </c>
      <c r="E557" s="7">
        <v>1969.8333333332901</v>
      </c>
      <c r="F557" s="1">
        <v>1.0194740264814337</v>
      </c>
      <c r="G557" s="7">
        <v>1969.8333333333001</v>
      </c>
      <c r="H557" s="1">
        <v>0.99569499020105778</v>
      </c>
      <c r="I557" s="7">
        <v>1969.8333333332901</v>
      </c>
      <c r="J557" s="1">
        <v>1.0823851470943524</v>
      </c>
      <c r="L557" s="1">
        <f t="shared" si="62"/>
        <v>1.0325180545922814</v>
      </c>
      <c r="M557" s="1"/>
      <c r="N557" s="1"/>
      <c r="R557" s="7">
        <f t="shared" si="63"/>
        <v>0.69613141367351639</v>
      </c>
      <c r="S557" s="7">
        <f t="shared" si="67"/>
        <v>-1.0141375857575017</v>
      </c>
      <c r="T557" s="7">
        <f t="shared" si="64"/>
        <v>1.8064474160052544</v>
      </c>
      <c r="V557" s="7">
        <f t="shared" si="65"/>
        <v>0.49614708130708968</v>
      </c>
      <c r="AF557" s="7">
        <f t="shared" si="66"/>
        <v>0.47967282796723304</v>
      </c>
    </row>
    <row r="558" spans="1:32" x14ac:dyDescent="0.35">
      <c r="A558" t="s">
        <v>37</v>
      </c>
      <c r="B558">
        <v>1969</v>
      </c>
      <c r="E558" s="7">
        <v>1969.74999999996</v>
      </c>
      <c r="F558" s="1">
        <v>1.0343759061442499</v>
      </c>
      <c r="G558" s="7">
        <v>1969.74999999996</v>
      </c>
      <c r="H558" s="1">
        <v>1.0081199479336618</v>
      </c>
      <c r="I558" s="7">
        <v>1969.74999999996</v>
      </c>
      <c r="J558" s="1">
        <v>1.0661107068103866</v>
      </c>
      <c r="L558" s="1">
        <f t="shared" si="62"/>
        <v>1.0362021869627662</v>
      </c>
      <c r="M558" s="1"/>
      <c r="N558" s="1"/>
      <c r="R558" s="7">
        <f t="shared" si="63"/>
        <v>1.155108385783213</v>
      </c>
      <c r="S558" s="7">
        <f t="shared" si="67"/>
        <v>-0.66623467028397254</v>
      </c>
      <c r="T558" s="7">
        <f t="shared" si="64"/>
        <v>1.2978642232548054</v>
      </c>
      <c r="V558" s="7">
        <f t="shared" si="65"/>
        <v>0.59557931291801525</v>
      </c>
      <c r="AF558" s="7">
        <f t="shared" si="66"/>
        <v>0.60333198777496733</v>
      </c>
    </row>
    <row r="559" spans="1:32" x14ac:dyDescent="0.35">
      <c r="A559" t="s">
        <v>39</v>
      </c>
      <c r="B559">
        <v>1969</v>
      </c>
      <c r="E559" s="7">
        <v>1969.6666666666299</v>
      </c>
      <c r="F559" s="1">
        <v>1.0429470838716741</v>
      </c>
      <c r="G559" s="7">
        <v>1969.6666666666299</v>
      </c>
      <c r="H559" s="1">
        <v>1.0221633608618304</v>
      </c>
      <c r="I559" s="7">
        <v>1969.6666666666299</v>
      </c>
      <c r="J559" s="1">
        <v>1.0330047227634087</v>
      </c>
      <c r="L559" s="1">
        <f t="shared" si="62"/>
        <v>1.0327050558323043</v>
      </c>
      <c r="M559" s="1"/>
      <c r="N559" s="1"/>
      <c r="R559" s="7">
        <f t="shared" si="63"/>
        <v>1.4191001297618906</v>
      </c>
      <c r="S559" s="7">
        <f t="shared" si="67"/>
        <v>-0.27301447541055668</v>
      </c>
      <c r="T559" s="7">
        <f t="shared" si="64"/>
        <v>0.26328811667460195</v>
      </c>
      <c r="V559" s="7">
        <f t="shared" si="65"/>
        <v>0.46979125700864527</v>
      </c>
      <c r="AF559" s="7">
        <f t="shared" si="66"/>
        <v>0.48594958838157032</v>
      </c>
    </row>
    <row r="560" spans="1:32" x14ac:dyDescent="0.35">
      <c r="A560" t="s">
        <v>41</v>
      </c>
      <c r="B560">
        <v>1969</v>
      </c>
      <c r="E560" s="7">
        <v>1969.5833333332901</v>
      </c>
      <c r="F560" s="1">
        <v>1.0422240355445325</v>
      </c>
      <c r="G560" s="7">
        <v>1969.5833333333001</v>
      </c>
      <c r="H560" s="1">
        <v>1.0307100059869905</v>
      </c>
      <c r="I560" s="7">
        <v>1969.5833333332901</v>
      </c>
      <c r="J560" s="1">
        <v>1.0135907541751701</v>
      </c>
      <c r="L560" s="1">
        <f t="shared" si="62"/>
        <v>1.0288415985688977</v>
      </c>
      <c r="M560" s="1"/>
      <c r="N560" s="1"/>
      <c r="R560" s="7">
        <f t="shared" si="63"/>
        <v>1.3968302859979167</v>
      </c>
      <c r="S560" s="7">
        <f t="shared" si="67"/>
        <v>-3.370559239050365E-2</v>
      </c>
      <c r="T560" s="7">
        <f t="shared" si="64"/>
        <v>-0.34340667320957968</v>
      </c>
      <c r="V560" s="7">
        <f t="shared" si="65"/>
        <v>0.33990600679927779</v>
      </c>
      <c r="AF560" s="7">
        <f t="shared" si="66"/>
        <v>0.35627132736862965</v>
      </c>
    </row>
    <row r="561" spans="1:32" x14ac:dyDescent="0.35">
      <c r="A561" t="s">
        <v>43</v>
      </c>
      <c r="B561">
        <v>1969</v>
      </c>
      <c r="E561" s="7">
        <v>1969.49999999996</v>
      </c>
      <c r="F561" s="1">
        <v>1.0245084587654902</v>
      </c>
      <c r="G561" s="7">
        <v>1969.49999999996</v>
      </c>
      <c r="H561" s="1">
        <v>1.0439488929630509</v>
      </c>
      <c r="I561" s="7">
        <v>1969.49999999996</v>
      </c>
      <c r="J561" s="1">
        <v>1.0113376740356737</v>
      </c>
      <c r="L561" s="1">
        <f t="shared" si="62"/>
        <v>1.0265983419214049</v>
      </c>
      <c r="M561" s="1"/>
      <c r="N561" s="1"/>
      <c r="R561" s="7">
        <f t="shared" si="63"/>
        <v>0.8511916167023531</v>
      </c>
      <c r="S561" s="7">
        <f t="shared" si="67"/>
        <v>0.33698761041290626</v>
      </c>
      <c r="T561" s="7">
        <f t="shared" si="64"/>
        <v>-0.41381638751457378</v>
      </c>
      <c r="V561" s="7">
        <f t="shared" si="65"/>
        <v>0.25812094653356188</v>
      </c>
      <c r="AF561" s="7">
        <f t="shared" si="66"/>
        <v>0.28097565273857539</v>
      </c>
    </row>
    <row r="562" spans="1:32" x14ac:dyDescent="0.35">
      <c r="A562" t="s">
        <v>44</v>
      </c>
      <c r="B562">
        <v>1969</v>
      </c>
      <c r="E562" s="7">
        <v>1969.4166666666299</v>
      </c>
      <c r="F562" s="1">
        <v>1.0135363471020695</v>
      </c>
      <c r="G562" s="7">
        <v>1969.4166666666299</v>
      </c>
      <c r="H562" s="1">
        <v>1.04457980534408</v>
      </c>
      <c r="I562" s="7">
        <v>1969.4166666666299</v>
      </c>
      <c r="J562" s="1">
        <v>1.0113221696466304</v>
      </c>
      <c r="L562" s="1">
        <f t="shared" si="62"/>
        <v>1.02314610736426</v>
      </c>
      <c r="M562" s="1"/>
      <c r="N562" s="1"/>
      <c r="R562" s="7">
        <f t="shared" si="63"/>
        <v>0.51325125596435617</v>
      </c>
      <c r="S562" s="7">
        <f t="shared" si="67"/>
        <v>0.35465336521804242</v>
      </c>
      <c r="T562" s="7">
        <f t="shared" si="64"/>
        <v>-0.41430090627796584</v>
      </c>
      <c r="V562" s="7">
        <f t="shared" si="65"/>
        <v>0.15120123830147761</v>
      </c>
      <c r="AF562" s="7">
        <f t="shared" si="66"/>
        <v>0.16510022214443076</v>
      </c>
    </row>
    <row r="563" spans="1:32" x14ac:dyDescent="0.35">
      <c r="A563" t="s">
        <v>42</v>
      </c>
      <c r="B563">
        <v>1969</v>
      </c>
      <c r="E563" s="7">
        <v>1969.3333333332901</v>
      </c>
      <c r="F563" s="1">
        <v>1.0050332064793326</v>
      </c>
      <c r="G563" s="7">
        <v>1969.3333333333001</v>
      </c>
      <c r="H563" s="1">
        <v>1.0356027353807862</v>
      </c>
      <c r="I563" s="7">
        <v>1969.3333333332901</v>
      </c>
      <c r="J563" s="1">
        <v>1.0133489280232628</v>
      </c>
      <c r="L563" s="1">
        <f t="shared" si="62"/>
        <v>1.0179949566277939</v>
      </c>
      <c r="M563" s="1"/>
      <c r="N563" s="1"/>
      <c r="R563" s="7">
        <f t="shared" si="63"/>
        <v>0.25135505060275631</v>
      </c>
      <c r="S563" s="7">
        <f t="shared" si="67"/>
        <v>0.10329244473423238</v>
      </c>
      <c r="T563" s="7">
        <f t="shared" si="64"/>
        <v>-0.35096384348896098</v>
      </c>
      <c r="V563" s="7">
        <f t="shared" si="65"/>
        <v>1.2278839493425713E-3</v>
      </c>
      <c r="AF563" s="7">
        <f t="shared" si="66"/>
        <v>-7.7999095711310511E-3</v>
      </c>
    </row>
    <row r="564" spans="1:32" x14ac:dyDescent="0.35">
      <c r="A564" t="s">
        <v>40</v>
      </c>
      <c r="B564">
        <v>1969</v>
      </c>
      <c r="E564" s="7">
        <v>1969.24999999996</v>
      </c>
      <c r="F564" s="1">
        <v>1.0013077861106763</v>
      </c>
      <c r="G564" s="7">
        <v>1969.24999999996</v>
      </c>
      <c r="H564" s="1">
        <v>1.0103771442938327</v>
      </c>
      <c r="I564" s="7">
        <v>1969.24999999996</v>
      </c>
      <c r="J564" s="1">
        <v>1.0097075037575693</v>
      </c>
      <c r="L564" s="1">
        <f t="shared" si="62"/>
        <v>1.0071308113873594</v>
      </c>
      <c r="M564" s="1"/>
      <c r="N564" s="1"/>
      <c r="R564" s="7">
        <f t="shared" si="63"/>
        <v>0.13661233362133873</v>
      </c>
      <c r="S564" s="7">
        <f t="shared" si="67"/>
        <v>-0.60303242755609021</v>
      </c>
      <c r="T564" s="7">
        <f t="shared" si="64"/>
        <v>-0.46475990325452887</v>
      </c>
      <c r="V564" s="7">
        <f t="shared" si="65"/>
        <v>-0.3103933323964268</v>
      </c>
      <c r="AF564" s="7">
        <f t="shared" si="66"/>
        <v>-0.37245865072394663</v>
      </c>
    </row>
    <row r="565" spans="1:32" x14ac:dyDescent="0.35">
      <c r="A565" t="s">
        <v>38</v>
      </c>
      <c r="B565">
        <v>1969</v>
      </c>
      <c r="E565" s="7">
        <v>1969.1666666666299</v>
      </c>
      <c r="F565" s="1">
        <v>1.0173535705346584</v>
      </c>
      <c r="G565" s="7">
        <v>1969.1666666666299</v>
      </c>
      <c r="H565" s="1">
        <v>1.0026017432834713</v>
      </c>
      <c r="I565" s="7">
        <v>1969.1666666666299</v>
      </c>
      <c r="J565" s="1">
        <v>1.0062460518952627</v>
      </c>
      <c r="L565" s="1">
        <f t="shared" si="62"/>
        <v>1.0087337885711307</v>
      </c>
      <c r="M565" s="1"/>
      <c r="N565" s="1"/>
      <c r="R565" s="7">
        <f t="shared" si="63"/>
        <v>0.63082150163796169</v>
      </c>
      <c r="S565" s="7">
        <f t="shared" si="67"/>
        <v>-0.8207462209303914</v>
      </c>
      <c r="T565" s="7">
        <f t="shared" si="64"/>
        <v>-0.57293174873534281</v>
      </c>
      <c r="V565" s="7">
        <f t="shared" si="65"/>
        <v>-0.25428548934259082</v>
      </c>
      <c r="AF565" s="7">
        <f t="shared" si="66"/>
        <v>-0.3186541747164664</v>
      </c>
    </row>
    <row r="566" spans="1:32" x14ac:dyDescent="0.35">
      <c r="A566" t="s">
        <v>36</v>
      </c>
      <c r="B566">
        <v>1969</v>
      </c>
      <c r="E566" s="7">
        <v>1969.0833333332901</v>
      </c>
      <c r="F566" s="1">
        <v>1.0480913148899531</v>
      </c>
      <c r="G566" s="7">
        <v>1969.0833333333001</v>
      </c>
      <c r="H566" s="1">
        <v>1.0225404197238093</v>
      </c>
      <c r="I566" s="7">
        <v>1969.0833333332901</v>
      </c>
      <c r="J566" s="1">
        <v>1.0204496935869192</v>
      </c>
      <c r="L566" s="1">
        <f t="shared" si="62"/>
        <v>1.0303604760668938</v>
      </c>
      <c r="M566" s="1"/>
      <c r="N566" s="1"/>
      <c r="R566" s="7">
        <f t="shared" si="63"/>
        <v>1.5775421270150256</v>
      </c>
      <c r="S566" s="7">
        <f t="shared" si="67"/>
        <v>-0.26245670288442802</v>
      </c>
      <c r="T566" s="7">
        <f t="shared" si="64"/>
        <v>-0.12906189427754652</v>
      </c>
      <c r="V566" s="7">
        <f t="shared" si="65"/>
        <v>0.3953411766176837</v>
      </c>
      <c r="AF566" s="7">
        <f t="shared" si="66"/>
        <v>0.40725296873358519</v>
      </c>
    </row>
    <row r="567" spans="1:32" x14ac:dyDescent="0.35">
      <c r="A567" t="s">
        <v>34</v>
      </c>
      <c r="B567">
        <v>1969</v>
      </c>
      <c r="E567" s="7">
        <v>1968.99999999996</v>
      </c>
      <c r="F567" s="1">
        <v>1.0662098827718567</v>
      </c>
      <c r="G567" s="7">
        <v>1968.99999999996</v>
      </c>
      <c r="H567" s="1">
        <v>1.0511157113339744</v>
      </c>
      <c r="I567" s="7">
        <v>1968.99999999996</v>
      </c>
      <c r="J567" s="1">
        <v>1.0934381117110521</v>
      </c>
      <c r="L567" s="1">
        <f t="shared" si="62"/>
        <v>1.0702545686056277</v>
      </c>
      <c r="M567" s="1"/>
      <c r="N567" s="1"/>
      <c r="R567" s="7">
        <f t="shared" si="63"/>
        <v>2.1355928973584848</v>
      </c>
      <c r="S567" s="7">
        <f t="shared" si="67"/>
        <v>0.53766088911314491</v>
      </c>
      <c r="T567" s="7">
        <f t="shared" si="64"/>
        <v>2.1518572694954061</v>
      </c>
      <c r="V567" s="7">
        <f t="shared" si="65"/>
        <v>1.608370351989012</v>
      </c>
      <c r="AF567" s="7">
        <f t="shared" si="66"/>
        <v>1.7463117941314992</v>
      </c>
    </row>
    <row r="568" spans="1:32" x14ac:dyDescent="0.35">
      <c r="A568" t="s">
        <v>33</v>
      </c>
      <c r="B568">
        <v>1968</v>
      </c>
      <c r="E568" s="7">
        <v>1968.9166666666299</v>
      </c>
      <c r="F568" s="1">
        <v>1.0635895723094653</v>
      </c>
      <c r="G568" s="7">
        <v>1968.9166666666299</v>
      </c>
      <c r="H568" s="1">
        <v>1.0511785519073769</v>
      </c>
      <c r="I568" s="7">
        <v>1968.9166666666299</v>
      </c>
      <c r="J568" s="1">
        <v>1.1042131020017023</v>
      </c>
      <c r="L568" s="1">
        <f t="shared" si="62"/>
        <v>1.0729937420728481</v>
      </c>
      <c r="M568" s="1"/>
      <c r="N568" s="1"/>
      <c r="R568" s="7">
        <f t="shared" si="63"/>
        <v>2.0548874971520457</v>
      </c>
      <c r="S568" s="7">
        <f t="shared" si="67"/>
        <v>0.5394204458993519</v>
      </c>
      <c r="T568" s="7">
        <f t="shared" si="64"/>
        <v>2.4885803068629668</v>
      </c>
      <c r="V568" s="7">
        <f t="shared" si="65"/>
        <v>1.6942960833047882</v>
      </c>
      <c r="AF568" s="7">
        <f t="shared" si="66"/>
        <v>1.8382530859910911</v>
      </c>
    </row>
    <row r="569" spans="1:32" x14ac:dyDescent="0.35">
      <c r="A569" t="s">
        <v>35</v>
      </c>
      <c r="B569">
        <v>1968</v>
      </c>
      <c r="E569" s="7">
        <v>1968.8333333332901</v>
      </c>
      <c r="F569" s="1">
        <v>1.0293691983726005</v>
      </c>
      <c r="G569" s="7">
        <v>1968.8333333332901</v>
      </c>
      <c r="H569" s="1">
        <v>1.0356324574019564</v>
      </c>
      <c r="I569" s="7">
        <v>1968.8333333332901</v>
      </c>
      <c r="J569" s="1">
        <v>1.0858767441741599</v>
      </c>
      <c r="L569" s="1">
        <f t="shared" si="62"/>
        <v>1.0502927999829057</v>
      </c>
      <c r="M569" s="1"/>
      <c r="N569" s="1"/>
      <c r="R569" s="7">
        <f t="shared" si="63"/>
        <v>1.0009020960220842</v>
      </c>
      <c r="S569" s="7">
        <f t="shared" si="67"/>
        <v>0.10412467113221514</v>
      </c>
      <c r="T569" s="7">
        <f t="shared" si="64"/>
        <v>1.9155613123766209</v>
      </c>
      <c r="V569" s="7">
        <f t="shared" si="65"/>
        <v>1.0068626931769735</v>
      </c>
      <c r="AF569" s="7">
        <f t="shared" si="66"/>
        <v>1.076288220619845</v>
      </c>
    </row>
    <row r="570" spans="1:32" x14ac:dyDescent="0.35">
      <c r="A570" t="s">
        <v>37</v>
      </c>
      <c r="B570">
        <v>1968</v>
      </c>
      <c r="E570" s="7">
        <v>1968.74999999996</v>
      </c>
      <c r="F570" s="1">
        <v>1.0125630439065718</v>
      </c>
      <c r="G570" s="7">
        <v>1968.74999999996</v>
      </c>
      <c r="H570" s="1">
        <v>1.0275956084260698</v>
      </c>
      <c r="I570" s="7">
        <v>1968.74999999996</v>
      </c>
      <c r="J570" s="1">
        <v>1.0828777767638882</v>
      </c>
      <c r="L570" s="1">
        <f t="shared" si="62"/>
        <v>1.0410121430321766</v>
      </c>
      <c r="M570" s="1"/>
      <c r="N570" s="1"/>
      <c r="R570" s="7">
        <f t="shared" si="63"/>
        <v>0.48327357773032004</v>
      </c>
      <c r="S570" s="7">
        <f t="shared" si="67"/>
        <v>-0.12090975152778202</v>
      </c>
      <c r="T570" s="7">
        <f t="shared" si="64"/>
        <v>1.821842303067696</v>
      </c>
      <c r="V570" s="7">
        <f t="shared" si="65"/>
        <v>0.72806870975674476</v>
      </c>
      <c r="AF570" s="7">
        <f t="shared" si="66"/>
        <v>0.76477980409681279</v>
      </c>
    </row>
    <row r="571" spans="1:32" x14ac:dyDescent="0.35">
      <c r="A571" t="s">
        <v>39</v>
      </c>
      <c r="B571">
        <v>1968</v>
      </c>
      <c r="E571" s="7">
        <v>1968.6666666666299</v>
      </c>
      <c r="F571" s="1">
        <v>1.0019333578496104</v>
      </c>
      <c r="G571" s="7">
        <v>1968.6666666666299</v>
      </c>
      <c r="H571" s="1">
        <v>1.0213923021260609</v>
      </c>
      <c r="I571" s="7">
        <v>1968.6666666666299</v>
      </c>
      <c r="J571" s="1">
        <v>1.0617340573130918</v>
      </c>
      <c r="L571" s="1">
        <f t="shared" si="62"/>
        <v>1.0283532390962542</v>
      </c>
      <c r="M571" s="1"/>
      <c r="N571" s="1"/>
      <c r="R571" s="7">
        <f t="shared" si="63"/>
        <v>0.15587990449629349</v>
      </c>
      <c r="S571" s="7">
        <f t="shared" si="67"/>
        <v>-0.29460437438233378</v>
      </c>
      <c r="T571" s="7">
        <f t="shared" si="64"/>
        <v>1.161092061752155</v>
      </c>
      <c r="V571" s="7">
        <f t="shared" si="65"/>
        <v>0.34078919728870488</v>
      </c>
      <c r="AF571" s="7">
        <f t="shared" si="66"/>
        <v>0.33987937507205868</v>
      </c>
    </row>
    <row r="572" spans="1:32" x14ac:dyDescent="0.35">
      <c r="A572" t="s">
        <v>41</v>
      </c>
      <c r="B572">
        <v>1968</v>
      </c>
      <c r="E572" s="7">
        <v>1968.5833333332901</v>
      </c>
      <c r="F572" s="1">
        <v>1.0272852527453611</v>
      </c>
      <c r="G572" s="7">
        <v>1968.5833333332901</v>
      </c>
      <c r="H572" s="1">
        <v>1.0100567510169964</v>
      </c>
      <c r="I572" s="7">
        <v>1968.5833333332901</v>
      </c>
      <c r="J572" s="1">
        <v>1.0347061596227169</v>
      </c>
      <c r="L572" s="1">
        <f t="shared" si="62"/>
        <v>1.0240160544616914</v>
      </c>
      <c r="M572" s="1"/>
      <c r="N572" s="1"/>
      <c r="R572" s="7">
        <f t="shared" si="63"/>
        <v>0.93671669957050319</v>
      </c>
      <c r="S572" s="7">
        <f t="shared" si="67"/>
        <v>-0.61200354500439946</v>
      </c>
      <c r="T572" s="7">
        <f t="shared" si="64"/>
        <v>0.31645874344096908</v>
      </c>
      <c r="V572" s="7">
        <f t="shared" si="65"/>
        <v>0.21372396600235763</v>
      </c>
      <c r="AF572" s="7">
        <f t="shared" si="66"/>
        <v>0.19430029324051482</v>
      </c>
    </row>
    <row r="573" spans="1:32" x14ac:dyDescent="0.35">
      <c r="A573" t="s">
        <v>43</v>
      </c>
      <c r="B573">
        <v>1968</v>
      </c>
      <c r="E573" s="7">
        <v>1968.49999999996</v>
      </c>
      <c r="F573" s="1">
        <v>0.98665140115725136</v>
      </c>
      <c r="G573" s="7">
        <v>1968.49999999996</v>
      </c>
      <c r="H573" s="1">
        <v>1.0016610555624721</v>
      </c>
      <c r="I573" s="7">
        <v>1968.49999999996</v>
      </c>
      <c r="J573" s="1">
        <v>1.0229574186462331</v>
      </c>
      <c r="L573" s="1">
        <f t="shared" si="62"/>
        <v>1.0037566251219856</v>
      </c>
      <c r="M573" s="1"/>
      <c r="N573" s="1"/>
      <c r="R573" s="7">
        <f t="shared" si="63"/>
        <v>-0.31480341662005118</v>
      </c>
      <c r="S573" s="7">
        <f t="shared" si="67"/>
        <v>-0.8470857874487544</v>
      </c>
      <c r="T573" s="7">
        <f t="shared" si="64"/>
        <v>-5.0694417734420343E-2</v>
      </c>
      <c r="V573" s="7">
        <f t="shared" si="65"/>
        <v>-0.40419454060107535</v>
      </c>
      <c r="AF573" s="7">
        <f t="shared" si="66"/>
        <v>-0.48571436377966665</v>
      </c>
    </row>
    <row r="574" spans="1:32" x14ac:dyDescent="0.35">
      <c r="A574" t="s">
        <v>44</v>
      </c>
      <c r="B574">
        <v>1968</v>
      </c>
      <c r="E574" s="7">
        <v>1968.4166666666299</v>
      </c>
      <c r="F574" s="1">
        <v>0.97460308068836055</v>
      </c>
      <c r="G574" s="7">
        <v>1968.4166666666299</v>
      </c>
      <c r="H574" s="1">
        <v>0.99815358256454334</v>
      </c>
      <c r="I574" s="7">
        <v>1968.4166666666299</v>
      </c>
      <c r="J574" s="1">
        <v>1.0123847112596915</v>
      </c>
      <c r="L574" s="1">
        <f t="shared" si="62"/>
        <v>0.99504712483753188</v>
      </c>
      <c r="M574" s="1"/>
      <c r="N574" s="1"/>
      <c r="R574" s="7">
        <f t="shared" si="63"/>
        <v>-0.68589094201573875</v>
      </c>
      <c r="S574" s="7">
        <f t="shared" si="67"/>
        <v>-0.94529618849680308</v>
      </c>
      <c r="T574" s="7">
        <f t="shared" si="64"/>
        <v>-0.38109602816407573</v>
      </c>
      <c r="V574" s="7">
        <f t="shared" si="65"/>
        <v>-0.67076105289220589</v>
      </c>
      <c r="AF574" s="7">
        <f t="shared" si="66"/>
        <v>-0.77805171195671907</v>
      </c>
    </row>
    <row r="575" spans="1:32" x14ac:dyDescent="0.35">
      <c r="A575" t="s">
        <v>42</v>
      </c>
      <c r="B575">
        <v>1968</v>
      </c>
      <c r="E575" s="7">
        <v>1968.3333333332901</v>
      </c>
      <c r="F575" s="1">
        <v>0.96363826399664099</v>
      </c>
      <c r="G575" s="7">
        <v>1968.3333333332901</v>
      </c>
      <c r="H575" s="1">
        <v>0.99728554652905399</v>
      </c>
      <c r="I575" s="7">
        <v>1968.3333333332901</v>
      </c>
      <c r="J575" s="1">
        <v>1.0103987110523718</v>
      </c>
      <c r="L575" s="1">
        <f t="shared" si="62"/>
        <v>0.99044084052602221</v>
      </c>
      <c r="M575" s="1"/>
      <c r="N575" s="1"/>
      <c r="R575" s="7">
        <f t="shared" si="63"/>
        <v>-1.0236066180764478</v>
      </c>
      <c r="S575" s="7">
        <f t="shared" si="67"/>
        <v>-0.96960148385329192</v>
      </c>
      <c r="T575" s="7">
        <f t="shared" si="64"/>
        <v>-0.44315938079666178</v>
      </c>
      <c r="V575" s="7">
        <f t="shared" si="65"/>
        <v>-0.8121224942421339</v>
      </c>
      <c r="AF575" s="7">
        <f t="shared" si="66"/>
        <v>-0.93266321624473536</v>
      </c>
    </row>
    <row r="576" spans="1:32" x14ac:dyDescent="0.35">
      <c r="A576" t="s">
        <v>40</v>
      </c>
      <c r="B576">
        <v>1968</v>
      </c>
      <c r="E576" s="7">
        <v>1968.24999999996</v>
      </c>
      <c r="F576" s="1">
        <v>0.9673584784384025</v>
      </c>
      <c r="G576" s="7">
        <v>1968.24999999996</v>
      </c>
      <c r="H576" s="1">
        <v>0.98027251121218084</v>
      </c>
      <c r="I576" s="7">
        <v>1968.24999999996</v>
      </c>
      <c r="J576" s="1">
        <v>1.0047863932011758</v>
      </c>
      <c r="L576" s="1">
        <f t="shared" si="62"/>
        <v>0.98413912761725308</v>
      </c>
      <c r="M576" s="1"/>
      <c r="N576" s="1"/>
      <c r="R576" s="7">
        <f t="shared" si="63"/>
        <v>-0.90902424332146481</v>
      </c>
      <c r="S576" s="7">
        <f t="shared" si="67"/>
        <v>-1.4459720852809894</v>
      </c>
      <c r="T576" s="7">
        <f t="shared" si="64"/>
        <v>-0.61854670482671004</v>
      </c>
      <c r="V576" s="7">
        <f t="shared" si="65"/>
        <v>-0.9911810111430549</v>
      </c>
      <c r="AF576" s="7">
        <f t="shared" si="66"/>
        <v>-1.1441823597725223</v>
      </c>
    </row>
    <row r="577" spans="1:32" x14ac:dyDescent="0.35">
      <c r="A577" t="s">
        <v>38</v>
      </c>
      <c r="B577">
        <v>1968</v>
      </c>
      <c r="E577" s="7">
        <v>1968.1666666666299</v>
      </c>
      <c r="F577" s="1">
        <v>0.96702162546390646</v>
      </c>
      <c r="G577" s="7">
        <v>1968.1666666666299</v>
      </c>
      <c r="H577" s="1">
        <v>0.97738969248848817</v>
      </c>
      <c r="I577" s="7">
        <v>1968.1666666666299</v>
      </c>
      <c r="J577" s="1">
        <v>1.0104094208834271</v>
      </c>
      <c r="L577" s="1">
        <f t="shared" si="62"/>
        <v>0.98494024627860721</v>
      </c>
      <c r="M577" s="1"/>
      <c r="N577" s="1"/>
      <c r="R577" s="7">
        <f t="shared" si="63"/>
        <v>-0.91939929410556964</v>
      </c>
      <c r="S577" s="7">
        <f t="shared" si="67"/>
        <v>-1.5266919605786387</v>
      </c>
      <c r="T577" s="7">
        <f t="shared" si="64"/>
        <v>-0.44282469401315955</v>
      </c>
      <c r="V577" s="7">
        <f t="shared" si="65"/>
        <v>-0.96297198289912267</v>
      </c>
      <c r="AF577" s="7">
        <f t="shared" si="66"/>
        <v>-1.1172925386132702</v>
      </c>
    </row>
    <row r="578" spans="1:32" x14ac:dyDescent="0.35">
      <c r="A578" t="s">
        <v>36</v>
      </c>
      <c r="B578">
        <v>1968</v>
      </c>
      <c r="E578" s="7">
        <v>1968.0833333332901</v>
      </c>
      <c r="F578" s="1">
        <v>0.9896622144523457</v>
      </c>
      <c r="G578" s="7">
        <v>1968.0833333332901</v>
      </c>
      <c r="H578" s="1">
        <v>0.99983521755544891</v>
      </c>
      <c r="I578" s="7">
        <v>1968.0833333332901</v>
      </c>
      <c r="J578" s="1">
        <v>1.0471429685312403</v>
      </c>
      <c r="L578" s="1">
        <f t="shared" si="62"/>
        <v>1.0122134668463449</v>
      </c>
      <c r="M578" s="1"/>
      <c r="N578" s="1"/>
      <c r="R578" s="7">
        <f t="shared" si="63"/>
        <v>-0.22207055331434497</v>
      </c>
      <c r="S578" s="7">
        <f t="shared" si="67"/>
        <v>-0.8982098539845218</v>
      </c>
      <c r="T578" s="7">
        <f t="shared" si="64"/>
        <v>0.70511432065033153</v>
      </c>
      <c r="V578" s="7">
        <f t="shared" si="65"/>
        <v>-0.13838869554951175</v>
      </c>
      <c r="AF578" s="7">
        <f t="shared" si="66"/>
        <v>-0.20185758636326559</v>
      </c>
    </row>
    <row r="579" spans="1:32" x14ac:dyDescent="0.35">
      <c r="A579" t="s">
        <v>34</v>
      </c>
      <c r="B579">
        <v>1968</v>
      </c>
      <c r="E579" s="7">
        <v>1967.99999999996</v>
      </c>
      <c r="F579" s="1">
        <v>1.0108828099291183</v>
      </c>
      <c r="G579" s="7">
        <v>1967.99999999996</v>
      </c>
      <c r="H579" s="1">
        <v>1.0390123717636623</v>
      </c>
      <c r="I579" s="7">
        <v>1967.99999999996</v>
      </c>
      <c r="J579" s="1">
        <v>1.0702181441036247</v>
      </c>
      <c r="L579" s="1">
        <f t="shared" si="62"/>
        <v>1.0400377752654684</v>
      </c>
      <c r="M579" s="1"/>
      <c r="N579" s="1"/>
      <c r="R579" s="7">
        <f t="shared" si="63"/>
        <v>0.43152247512735381</v>
      </c>
      <c r="S579" s="7">
        <f t="shared" si="67"/>
        <v>0.19876338828476883</v>
      </c>
      <c r="T579" s="7">
        <f t="shared" si="64"/>
        <v>1.4262233886803255</v>
      </c>
      <c r="V579" s="7">
        <f t="shared" si="65"/>
        <v>0.68550308403081617</v>
      </c>
      <c r="AF579" s="7">
        <f t="shared" si="66"/>
        <v>0.73207481761473858</v>
      </c>
    </row>
    <row r="580" spans="1:32" x14ac:dyDescent="0.35">
      <c r="A580" t="s">
        <v>33</v>
      </c>
      <c r="B580">
        <v>1967</v>
      </c>
      <c r="E580" s="7">
        <v>1967.9166666666199</v>
      </c>
      <c r="F580" s="1">
        <v>1.0219454975338438</v>
      </c>
      <c r="G580" s="7">
        <v>1967.9166666666299</v>
      </c>
      <c r="H580" s="1">
        <v>1.0521060924636811</v>
      </c>
      <c r="I580" s="7">
        <v>1967.9166666666199</v>
      </c>
      <c r="J580" s="1">
        <v>1.0722989456312997</v>
      </c>
      <c r="L580" s="1">
        <f t="shared" si="62"/>
        <v>1.0487835118762749</v>
      </c>
      <c r="M580" s="1"/>
      <c r="N580" s="1"/>
      <c r="R580" s="7">
        <f t="shared" si="63"/>
        <v>0.77225256925648744</v>
      </c>
      <c r="S580" s="7">
        <f t="shared" si="67"/>
        <v>0.56539188746904256</v>
      </c>
      <c r="T580" s="7">
        <f t="shared" si="64"/>
        <v>1.4912493229649957</v>
      </c>
      <c r="V580" s="7">
        <f t="shared" si="65"/>
        <v>0.94296459323017512</v>
      </c>
      <c r="AF580" s="7">
        <f t="shared" si="66"/>
        <v>1.0256284504473621</v>
      </c>
    </row>
    <row r="581" spans="1:32" x14ac:dyDescent="0.35">
      <c r="A581" t="s">
        <v>35</v>
      </c>
      <c r="B581">
        <v>1967</v>
      </c>
      <c r="E581" s="7">
        <v>1967.8333333332901</v>
      </c>
      <c r="F581" s="1">
        <v>1.0159911065452965</v>
      </c>
      <c r="G581" s="7">
        <v>1967.8333333332901</v>
      </c>
      <c r="H581" s="1">
        <v>1.0389666368274484</v>
      </c>
      <c r="I581" s="7">
        <v>1967.8333333332901</v>
      </c>
      <c r="J581" s="1">
        <v>1.0611520123551101</v>
      </c>
      <c r="L581" s="1">
        <f t="shared" ref="L581:L644" si="68">AVERAGE(D581,F581,H581,J581)</f>
        <v>1.0387032519092849</v>
      </c>
      <c r="M581" s="1"/>
      <c r="N581" s="1"/>
      <c r="R581" s="7">
        <f t="shared" ref="R581:R644" si="69">STANDARDIZE(F581, AVERAGE($F$4:$F$747), _xlfn.STDEV.P($F$4:$F$747))</f>
        <v>0.58885769501790153</v>
      </c>
      <c r="S581" s="7">
        <f t="shared" si="67"/>
        <v>0.19748279498294377</v>
      </c>
      <c r="T581" s="7">
        <f t="shared" ref="T581:T644" si="70">STANDARDIZE(J581,AVERAGE($J$4:$J$795),_xlfn.STDEV.P($J$4:$J$795))</f>
        <v>1.1429029088295655</v>
      </c>
      <c r="V581" s="7">
        <f t="shared" ref="V581:V644" si="71">AVERAGE(Q581,R581,S581,T581)</f>
        <v>0.64308113294347025</v>
      </c>
      <c r="AF581" s="7">
        <f t="shared" ref="AF581:AF644" si="72">STANDARDIZE(L581,L$1,L$2)</f>
        <v>0.68728108590967341</v>
      </c>
    </row>
    <row r="582" spans="1:32" x14ac:dyDescent="0.35">
      <c r="A582" t="s">
        <v>37</v>
      </c>
      <c r="B582">
        <v>1967</v>
      </c>
      <c r="E582" s="7">
        <v>1967.74999999996</v>
      </c>
      <c r="F582" s="1">
        <v>1.0140936292495633</v>
      </c>
      <c r="G582" s="7">
        <v>1967.74999999996</v>
      </c>
      <c r="H582" s="1">
        <v>1.0191310112067828</v>
      </c>
      <c r="I582" s="7">
        <v>1967.74999999996</v>
      </c>
      <c r="J582" s="1">
        <v>1.0478315972765451</v>
      </c>
      <c r="L582" s="1">
        <f t="shared" si="68"/>
        <v>1.0270187459109639</v>
      </c>
      <c r="M582" s="1"/>
      <c r="N582" s="1"/>
      <c r="R582" s="7">
        <f t="shared" si="69"/>
        <v>0.53041551164585221</v>
      </c>
      <c r="S582" s="7">
        <f t="shared" si="67"/>
        <v>-0.35792126611599928</v>
      </c>
      <c r="T582" s="7">
        <f t="shared" si="70"/>
        <v>0.72663426233778061</v>
      </c>
      <c r="V582" s="7">
        <f t="shared" si="71"/>
        <v>0.29970950262254453</v>
      </c>
      <c r="AF582" s="7">
        <f t="shared" si="72"/>
        <v>0.29508665606331336</v>
      </c>
    </row>
    <row r="583" spans="1:32" x14ac:dyDescent="0.35">
      <c r="A583" t="s">
        <v>39</v>
      </c>
      <c r="B583">
        <v>1967</v>
      </c>
      <c r="E583" s="7">
        <v>1967.6666666666199</v>
      </c>
      <c r="F583" s="1">
        <v>1.0255862865294161</v>
      </c>
      <c r="G583" s="7">
        <v>1967.6666666666299</v>
      </c>
      <c r="H583" s="1">
        <v>1.0151599302134406</v>
      </c>
      <c r="I583" s="7">
        <v>1967.6666666666199</v>
      </c>
      <c r="J583" s="1">
        <v>1.0386629570515586</v>
      </c>
      <c r="L583" s="1">
        <f t="shared" si="68"/>
        <v>1.0264697245981385</v>
      </c>
      <c r="M583" s="1"/>
      <c r="N583" s="1"/>
      <c r="R583" s="7">
        <f t="shared" si="69"/>
        <v>0.88438864518036719</v>
      </c>
      <c r="S583" s="7">
        <f t="shared" si="67"/>
        <v>-0.46911284397867326</v>
      </c>
      <c r="T583" s="7">
        <f t="shared" si="70"/>
        <v>0.44011034892258588</v>
      </c>
      <c r="V583" s="7">
        <f t="shared" si="71"/>
        <v>0.28512871670809331</v>
      </c>
      <c r="AF583" s="7">
        <f t="shared" si="72"/>
        <v>0.27665856840706121</v>
      </c>
    </row>
    <row r="584" spans="1:32" x14ac:dyDescent="0.35">
      <c r="A584" t="s">
        <v>41</v>
      </c>
      <c r="B584">
        <v>1967</v>
      </c>
      <c r="E584" s="7">
        <v>1967.5833333332901</v>
      </c>
      <c r="F584" s="1">
        <v>1.0261747039523261</v>
      </c>
      <c r="G584" s="7">
        <v>1967.5833333332901</v>
      </c>
      <c r="H584" s="1">
        <v>1.0013272694008455</v>
      </c>
      <c r="I584" s="7">
        <v>1967.5833333332901</v>
      </c>
      <c r="J584" s="1">
        <v>1.0198850050152251</v>
      </c>
      <c r="L584" s="1">
        <f t="shared" si="68"/>
        <v>1.0157956594561321</v>
      </c>
      <c r="M584" s="1"/>
      <c r="N584" s="1"/>
      <c r="R584" s="7">
        <f t="shared" si="69"/>
        <v>0.90251186541933703</v>
      </c>
      <c r="S584" s="7">
        <f t="shared" si="67"/>
        <v>-0.85643191008946917</v>
      </c>
      <c r="T584" s="7">
        <f t="shared" si="70"/>
        <v>-0.1467086527338011</v>
      </c>
      <c r="V584" s="7">
        <f t="shared" si="71"/>
        <v>-3.3542899134644415E-2</v>
      </c>
      <c r="AF584" s="7">
        <f t="shared" si="72"/>
        <v>-8.1620069398730649E-2</v>
      </c>
    </row>
    <row r="585" spans="1:32" x14ac:dyDescent="0.35">
      <c r="A585" t="s">
        <v>43</v>
      </c>
      <c r="B585">
        <v>1967</v>
      </c>
      <c r="E585" s="7">
        <v>1967.49999999996</v>
      </c>
      <c r="F585" s="1">
        <v>1.0153293714737999</v>
      </c>
      <c r="G585" s="7">
        <v>1967.49999999996</v>
      </c>
      <c r="H585" s="1">
        <v>1.002908558246828</v>
      </c>
      <c r="I585" s="7">
        <v>1967.49999999996</v>
      </c>
      <c r="J585" s="1">
        <v>1.0129849215331366</v>
      </c>
      <c r="L585" s="1">
        <f t="shared" si="68"/>
        <v>1.0104076170845879</v>
      </c>
      <c r="M585" s="1"/>
      <c r="N585" s="1"/>
      <c r="R585" s="7">
        <f t="shared" si="69"/>
        <v>0.56847629573629599</v>
      </c>
      <c r="S585" s="7">
        <f t="shared" si="67"/>
        <v>-0.81215530073896036</v>
      </c>
      <c r="T585" s="7">
        <f t="shared" si="70"/>
        <v>-0.36233920139375386</v>
      </c>
      <c r="V585" s="7">
        <f t="shared" si="71"/>
        <v>-0.20200606879880609</v>
      </c>
      <c r="AF585" s="7">
        <f t="shared" si="72"/>
        <v>-0.26247154965809777</v>
      </c>
    </row>
    <row r="586" spans="1:32" x14ac:dyDescent="0.35">
      <c r="A586" t="s">
        <v>44</v>
      </c>
      <c r="B586">
        <v>1967</v>
      </c>
      <c r="E586" s="7">
        <v>1967.4166666666199</v>
      </c>
      <c r="F586" s="1">
        <v>1.0090562498732798</v>
      </c>
      <c r="G586" s="7">
        <v>1967.4166666666299</v>
      </c>
      <c r="H586" s="1">
        <v>1.0051114981982996</v>
      </c>
      <c r="I586" s="7">
        <v>1967.4166666666199</v>
      </c>
      <c r="J586" s="1">
        <v>1.006738775853061</v>
      </c>
      <c r="L586" s="1">
        <f t="shared" si="68"/>
        <v>1.0069688413082136</v>
      </c>
      <c r="M586" s="1"/>
      <c r="N586" s="1"/>
      <c r="R586" s="7">
        <f t="shared" si="69"/>
        <v>0.37526453835866908</v>
      </c>
      <c r="S586" s="7">
        <f t="shared" si="67"/>
        <v>-0.75047225535370599</v>
      </c>
      <c r="T586" s="7">
        <f t="shared" si="70"/>
        <v>-0.55753391512452455</v>
      </c>
      <c r="V586" s="7">
        <f t="shared" si="71"/>
        <v>-0.31091387737318715</v>
      </c>
      <c r="AF586" s="7">
        <f t="shared" si="72"/>
        <v>-0.37789523168439693</v>
      </c>
    </row>
    <row r="587" spans="1:32" x14ac:dyDescent="0.35">
      <c r="A587" t="s">
        <v>42</v>
      </c>
      <c r="B587">
        <v>1967</v>
      </c>
      <c r="E587" s="7">
        <v>1967.3333333332901</v>
      </c>
      <c r="F587" s="1">
        <v>0.99466594764705007</v>
      </c>
      <c r="G587" s="7">
        <v>1967.3333333332901</v>
      </c>
      <c r="H587" s="1">
        <v>1.010402224430367</v>
      </c>
      <c r="I587" s="7">
        <v>1967.3333333332901</v>
      </c>
      <c r="J587" s="1">
        <v>1.0005719683812224</v>
      </c>
      <c r="L587" s="1">
        <f t="shared" si="68"/>
        <v>1.0018800468195463</v>
      </c>
      <c r="M587" s="1"/>
      <c r="N587" s="1"/>
      <c r="R587" s="7">
        <f t="shared" si="69"/>
        <v>-6.7955880339179153E-2</v>
      </c>
      <c r="S587" s="7">
        <f t="shared" si="67"/>
        <v>-0.60233017545926093</v>
      </c>
      <c r="T587" s="7">
        <f t="shared" si="70"/>
        <v>-0.75024927604511082</v>
      </c>
      <c r="V587" s="7">
        <f t="shared" si="71"/>
        <v>-0.47351177728118365</v>
      </c>
      <c r="AF587" s="7">
        <f t="shared" si="72"/>
        <v>-0.54870235467059258</v>
      </c>
    </row>
    <row r="588" spans="1:32" x14ac:dyDescent="0.35">
      <c r="A588" t="s">
        <v>40</v>
      </c>
      <c r="B588">
        <v>1967</v>
      </c>
      <c r="E588" s="7">
        <v>1967.24999999996</v>
      </c>
      <c r="F588" s="1">
        <v>0.97664745293124045</v>
      </c>
      <c r="G588" s="7">
        <v>1967.24999999996</v>
      </c>
      <c r="H588" s="1">
        <v>1.0072007378461822</v>
      </c>
      <c r="I588" s="7">
        <v>1967.24999999996</v>
      </c>
      <c r="J588" s="1">
        <v>0.99664117055671997</v>
      </c>
      <c r="L588" s="1">
        <f t="shared" si="68"/>
        <v>0.99349645377804752</v>
      </c>
      <c r="M588" s="1"/>
      <c r="N588" s="1"/>
      <c r="R588" s="7">
        <f t="shared" si="69"/>
        <v>-0.62292440335528643</v>
      </c>
      <c r="S588" s="7">
        <f t="shared" si="67"/>
        <v>-0.69197285597837033</v>
      </c>
      <c r="T588" s="7">
        <f t="shared" si="70"/>
        <v>-0.87308838281375323</v>
      </c>
      <c r="V588" s="7">
        <f t="shared" si="71"/>
        <v>-0.7293285473824701</v>
      </c>
      <c r="AF588" s="7">
        <f t="shared" si="72"/>
        <v>-0.83010051505897342</v>
      </c>
    </row>
    <row r="589" spans="1:32" x14ac:dyDescent="0.35">
      <c r="A589" t="s">
        <v>38</v>
      </c>
      <c r="B589">
        <v>1967</v>
      </c>
      <c r="E589" s="7">
        <v>1967.1666666666199</v>
      </c>
      <c r="F589" s="1">
        <v>0.97857048053077211</v>
      </c>
      <c r="G589" s="7">
        <v>1967.1666666666299</v>
      </c>
      <c r="H589" s="1">
        <v>1.0106320187958127</v>
      </c>
      <c r="I589" s="7">
        <v>1967.1666666666199</v>
      </c>
      <c r="J589" s="1">
        <v>1.0013900089123879</v>
      </c>
      <c r="L589" s="1">
        <f t="shared" si="68"/>
        <v>0.99686416941299083</v>
      </c>
      <c r="M589" s="1"/>
      <c r="N589" s="1"/>
      <c r="R589" s="7">
        <f t="shared" si="69"/>
        <v>-0.56369527220622828</v>
      </c>
      <c r="S589" s="7">
        <f t="shared" si="67"/>
        <v>-0.59589585741822992</v>
      </c>
      <c r="T589" s="7">
        <f t="shared" si="70"/>
        <v>-0.7246851609124183</v>
      </c>
      <c r="V589" s="7">
        <f t="shared" si="71"/>
        <v>-0.6280920968456255</v>
      </c>
      <c r="AF589" s="7">
        <f t="shared" si="72"/>
        <v>-0.71706199092102085</v>
      </c>
    </row>
    <row r="590" spans="1:32" x14ac:dyDescent="0.35">
      <c r="A590" t="s">
        <v>36</v>
      </c>
      <c r="B590">
        <v>1967</v>
      </c>
      <c r="E590" s="7">
        <v>1967.0833333332901</v>
      </c>
      <c r="F590" s="1">
        <v>0.99449759972509133</v>
      </c>
      <c r="G590" s="7">
        <v>1967.0833333332901</v>
      </c>
      <c r="H590" s="1">
        <v>1.0395610888221929</v>
      </c>
      <c r="I590" s="7">
        <v>1967.0833333332901</v>
      </c>
      <c r="J590" s="1">
        <v>1.04008100602172</v>
      </c>
      <c r="L590" s="1">
        <f t="shared" si="68"/>
        <v>1.0247132315230012</v>
      </c>
      <c r="M590" s="1"/>
      <c r="N590" s="1"/>
      <c r="R590" s="7">
        <f t="shared" si="69"/>
        <v>-7.314098592518023E-2</v>
      </c>
      <c r="S590" s="7">
        <f t="shared" si="67"/>
        <v>0.21412764694392708</v>
      </c>
      <c r="T590" s="7">
        <f t="shared" si="70"/>
        <v>0.48442498341307083</v>
      </c>
      <c r="V590" s="7">
        <f t="shared" si="71"/>
        <v>0.2084705481439392</v>
      </c>
      <c r="AF590" s="7">
        <f t="shared" si="72"/>
        <v>0.21770127913599388</v>
      </c>
    </row>
    <row r="591" spans="1:32" x14ac:dyDescent="0.35">
      <c r="A591" t="s">
        <v>34</v>
      </c>
      <c r="B591">
        <v>1967</v>
      </c>
      <c r="E591" s="7">
        <v>1966.99999999996</v>
      </c>
      <c r="F591" s="1">
        <v>1.0354591267057993</v>
      </c>
      <c r="G591" s="7">
        <v>1966.99999999996</v>
      </c>
      <c r="H591" s="1">
        <v>1.063465378551544</v>
      </c>
      <c r="I591" s="7">
        <v>1966.99999999996</v>
      </c>
      <c r="J591" s="1">
        <v>1.0644713445181195</v>
      </c>
      <c r="L591" s="1">
        <f t="shared" si="68"/>
        <v>1.0544652832584875</v>
      </c>
      <c r="M591" s="1"/>
      <c r="N591" s="1"/>
      <c r="R591" s="7">
        <f t="shared" si="69"/>
        <v>1.1884715120945524</v>
      </c>
      <c r="S591" s="7">
        <f t="shared" si="67"/>
        <v>0.88345564532756915</v>
      </c>
      <c r="T591" s="7">
        <f t="shared" si="70"/>
        <v>1.2466334531559224</v>
      </c>
      <c r="V591" s="7">
        <f t="shared" si="71"/>
        <v>1.1061868701926814</v>
      </c>
      <c r="AF591" s="7">
        <f t="shared" si="72"/>
        <v>1.2163390451515308</v>
      </c>
    </row>
    <row r="592" spans="1:32" x14ac:dyDescent="0.35">
      <c r="A592" t="s">
        <v>33</v>
      </c>
      <c r="B592">
        <v>1966</v>
      </c>
      <c r="E592" s="7">
        <v>1966.9166666666199</v>
      </c>
      <c r="F592" s="1">
        <v>1.0562397767466272</v>
      </c>
      <c r="G592" s="7">
        <v>1966.9166666666199</v>
      </c>
      <c r="H592" s="1">
        <v>1.0730906750557341</v>
      </c>
      <c r="I592" s="7">
        <v>1966.9166666666199</v>
      </c>
      <c r="J592" s="1">
        <v>1.0660841829044339</v>
      </c>
      <c r="L592" s="1">
        <f t="shared" si="68"/>
        <v>1.0651382115689316</v>
      </c>
      <c r="M592" s="1"/>
      <c r="N592" s="1"/>
      <c r="R592" s="7">
        <f t="shared" si="69"/>
        <v>1.8285142483145764</v>
      </c>
      <c r="S592" s="7">
        <f t="shared" ref="S592:S655" si="73">STANDARDIZE(H592, AVERAGE($H$4:$H$891), _xlfn.STDEV.P($H$4:$H$891))</f>
        <v>1.1529671228046916</v>
      </c>
      <c r="T592" s="7">
        <f t="shared" si="70"/>
        <v>1.297035339893027</v>
      </c>
      <c r="V592" s="7">
        <f t="shared" si="71"/>
        <v>1.4261722370040983</v>
      </c>
      <c r="AF592" s="7">
        <f t="shared" si="72"/>
        <v>1.5745795248181218</v>
      </c>
    </row>
    <row r="593" spans="1:32" x14ac:dyDescent="0.35">
      <c r="A593" t="s">
        <v>35</v>
      </c>
      <c r="B593">
        <v>1966</v>
      </c>
      <c r="E593" s="7">
        <v>1966.8333333332901</v>
      </c>
      <c r="F593" s="1">
        <v>1.074588323977391</v>
      </c>
      <c r="G593" s="7">
        <v>1966.8333333332901</v>
      </c>
      <c r="H593" s="1">
        <v>1.0691841831763649</v>
      </c>
      <c r="I593" s="7">
        <v>1966.8333333332901</v>
      </c>
      <c r="J593" s="1">
        <v>1.0714943641853942</v>
      </c>
      <c r="L593" s="1">
        <f t="shared" si="68"/>
        <v>1.0717556237797166</v>
      </c>
      <c r="M593" s="1"/>
      <c r="N593" s="1"/>
      <c r="R593" s="7">
        <f t="shared" si="69"/>
        <v>2.3936483683814282</v>
      </c>
      <c r="S593" s="7">
        <f t="shared" si="73"/>
        <v>1.043584061441039</v>
      </c>
      <c r="T593" s="7">
        <f t="shared" si="70"/>
        <v>1.4661058099810487</v>
      </c>
      <c r="V593" s="7">
        <f t="shared" si="71"/>
        <v>1.6344460799345051</v>
      </c>
      <c r="AF593" s="7">
        <f t="shared" si="72"/>
        <v>1.7966952231146576</v>
      </c>
    </row>
    <row r="594" spans="1:32" x14ac:dyDescent="0.35">
      <c r="A594" t="s">
        <v>37</v>
      </c>
      <c r="B594">
        <v>1966</v>
      </c>
      <c r="E594" s="7">
        <v>1966.74999999996</v>
      </c>
      <c r="F594" s="1">
        <v>1.0646577485382276</v>
      </c>
      <c r="G594" s="7">
        <v>1966.74999999996</v>
      </c>
      <c r="H594" s="1">
        <v>1.0424876106792782</v>
      </c>
      <c r="I594" s="7">
        <v>1966.74999999996</v>
      </c>
      <c r="J594" s="1">
        <v>1.0531499407148823</v>
      </c>
      <c r="L594" s="1">
        <f t="shared" si="68"/>
        <v>1.0534317666441293</v>
      </c>
      <c r="M594" s="1"/>
      <c r="N594" s="1"/>
      <c r="R594" s="7">
        <f t="shared" si="69"/>
        <v>2.0877872589438566</v>
      </c>
      <c r="S594" s="7">
        <f t="shared" si="73"/>
        <v>0.29607122439411809</v>
      </c>
      <c r="T594" s="7">
        <f t="shared" si="70"/>
        <v>0.89283476071546342</v>
      </c>
      <c r="V594" s="7">
        <f t="shared" si="71"/>
        <v>1.092231081351146</v>
      </c>
      <c r="AF594" s="7">
        <f t="shared" si="72"/>
        <v>1.1816487074202469</v>
      </c>
    </row>
    <row r="595" spans="1:32" x14ac:dyDescent="0.35">
      <c r="A595" t="s">
        <v>39</v>
      </c>
      <c r="B595">
        <v>1966</v>
      </c>
      <c r="E595" s="7">
        <v>1966.6666666666199</v>
      </c>
      <c r="F595" s="1">
        <v>1.039539478094744</v>
      </c>
      <c r="G595" s="7">
        <v>1966.6666666666199</v>
      </c>
      <c r="H595" s="1">
        <v>1.0239253735121261</v>
      </c>
      <c r="I595" s="7">
        <v>1966.6666666666199</v>
      </c>
      <c r="J595" s="1">
        <v>1.0270749755909205</v>
      </c>
      <c r="L595" s="1">
        <f t="shared" si="68"/>
        <v>1.0301799423992637</v>
      </c>
      <c r="M595" s="1"/>
      <c r="N595" s="1"/>
      <c r="R595" s="7">
        <f t="shared" si="69"/>
        <v>1.3141460825525655</v>
      </c>
      <c r="S595" s="7">
        <f t="shared" si="73"/>
        <v>-0.22367753991897371</v>
      </c>
      <c r="T595" s="7">
        <f t="shared" si="70"/>
        <v>7.798099111046046E-2</v>
      </c>
      <c r="V595" s="7">
        <f t="shared" si="71"/>
        <v>0.38948317791468412</v>
      </c>
      <c r="AF595" s="7">
        <f t="shared" si="72"/>
        <v>0.40119329459293646</v>
      </c>
    </row>
    <row r="596" spans="1:32" x14ac:dyDescent="0.35">
      <c r="A596" t="s">
        <v>41</v>
      </c>
      <c r="B596">
        <v>1966</v>
      </c>
      <c r="E596" s="7">
        <v>1966.5833333332901</v>
      </c>
      <c r="F596" s="1">
        <v>1.0152842403265696</v>
      </c>
      <c r="G596" s="7">
        <v>1966.5833333332901</v>
      </c>
      <c r="H596" s="1">
        <v>1.0087208643294081</v>
      </c>
      <c r="I596" s="7">
        <v>1966.5833333332901</v>
      </c>
      <c r="J596" s="1">
        <v>1.0128211596604639</v>
      </c>
      <c r="L596" s="1">
        <f t="shared" si="68"/>
        <v>1.0122754214388141</v>
      </c>
      <c r="M596" s="1"/>
      <c r="N596" s="1"/>
      <c r="R596" s="7">
        <f t="shared" si="69"/>
        <v>0.56708625919243172</v>
      </c>
      <c r="S596" s="7">
        <f t="shared" si="73"/>
        <v>-0.64940881296234942</v>
      </c>
      <c r="T596" s="7">
        <f t="shared" si="70"/>
        <v>-0.36745682968704152</v>
      </c>
      <c r="V596" s="7">
        <f t="shared" si="71"/>
        <v>-0.14992646115231975</v>
      </c>
      <c r="AF596" s="7">
        <f t="shared" si="72"/>
        <v>-0.19977805933205886</v>
      </c>
    </row>
    <row r="597" spans="1:32" x14ac:dyDescent="0.35">
      <c r="A597" t="s">
        <v>43</v>
      </c>
      <c r="B597">
        <v>1966</v>
      </c>
      <c r="E597" s="7">
        <v>1966.49999999996</v>
      </c>
      <c r="F597" s="1">
        <v>0.99984144073632908</v>
      </c>
      <c r="G597" s="7">
        <v>1966.49999999996</v>
      </c>
      <c r="H597" s="1">
        <v>1.0054362064811315</v>
      </c>
      <c r="I597" s="7">
        <v>1966.49999999996</v>
      </c>
      <c r="J597" s="1">
        <v>1.0106488485987191</v>
      </c>
      <c r="L597" s="1">
        <f t="shared" si="68"/>
        <v>1.0053088319387264</v>
      </c>
      <c r="M597" s="1"/>
      <c r="N597" s="1"/>
      <c r="R597" s="7">
        <f t="shared" si="69"/>
        <v>9.1448986767566839E-2</v>
      </c>
      <c r="S597" s="7">
        <f t="shared" si="73"/>
        <v>-0.74138031631401025</v>
      </c>
      <c r="T597" s="7">
        <f t="shared" si="70"/>
        <v>-0.43534247589988306</v>
      </c>
      <c r="V597" s="7">
        <f t="shared" si="71"/>
        <v>-0.36175793514877547</v>
      </c>
      <c r="AF597" s="7">
        <f t="shared" si="72"/>
        <v>-0.43361401246119569</v>
      </c>
    </row>
    <row r="598" spans="1:32" x14ac:dyDescent="0.35">
      <c r="A598" t="s">
        <v>44</v>
      </c>
      <c r="B598">
        <v>1966</v>
      </c>
      <c r="E598" s="7">
        <v>1966.4166666666199</v>
      </c>
      <c r="F598" s="1">
        <v>0.99344095234475582</v>
      </c>
      <c r="G598" s="7">
        <v>1966.4166666666199</v>
      </c>
      <c r="H598" s="1">
        <v>1.0034398276452412</v>
      </c>
      <c r="I598" s="7">
        <v>1966.4166666666199</v>
      </c>
      <c r="J598" s="1">
        <v>1.0126349274965907</v>
      </c>
      <c r="L598" s="1">
        <f t="shared" si="68"/>
        <v>1.0031719024955292</v>
      </c>
      <c r="M598" s="1"/>
      <c r="N598" s="1"/>
      <c r="R598" s="7">
        <f t="shared" si="69"/>
        <v>-0.10568565989836824</v>
      </c>
      <c r="S598" s="7">
        <f t="shared" si="73"/>
        <v>-0.79727958231902485</v>
      </c>
      <c r="T598" s="7">
        <f t="shared" si="70"/>
        <v>-0.37327666415402477</v>
      </c>
      <c r="V598" s="7">
        <f t="shared" si="71"/>
        <v>-0.42541396879047261</v>
      </c>
      <c r="AF598" s="7">
        <f t="shared" si="72"/>
        <v>-0.50534077820696666</v>
      </c>
    </row>
    <row r="599" spans="1:32" x14ac:dyDescent="0.35">
      <c r="A599" t="s">
        <v>42</v>
      </c>
      <c r="B599">
        <v>1966</v>
      </c>
      <c r="E599" s="7">
        <v>1966.3333333332901</v>
      </c>
      <c r="F599" s="1">
        <v>0.98910180191966512</v>
      </c>
      <c r="G599" s="7">
        <v>1966.3333333332901</v>
      </c>
      <c r="H599" s="1">
        <v>0.99674832511874945</v>
      </c>
      <c r="I599" s="7">
        <v>1966.3333333332901</v>
      </c>
      <c r="J599" s="1">
        <v>1.003375081118322</v>
      </c>
      <c r="L599" s="1">
        <f t="shared" si="68"/>
        <v>0.99640840271891218</v>
      </c>
      <c r="M599" s="1"/>
      <c r="N599" s="1"/>
      <c r="R599" s="7">
        <f t="shared" si="69"/>
        <v>-0.23933122466601844</v>
      </c>
      <c r="S599" s="7">
        <f t="shared" si="73"/>
        <v>-0.98464386056973818</v>
      </c>
      <c r="T599" s="7">
        <f t="shared" si="70"/>
        <v>-0.66265080871852011</v>
      </c>
      <c r="V599" s="7">
        <f t="shared" si="71"/>
        <v>-0.62887529798475894</v>
      </c>
      <c r="AF599" s="7">
        <f t="shared" si="72"/>
        <v>-0.7323599554864737</v>
      </c>
    </row>
    <row r="600" spans="1:32" x14ac:dyDescent="0.35">
      <c r="A600" t="s">
        <v>40</v>
      </c>
      <c r="B600">
        <v>1966</v>
      </c>
      <c r="E600" s="7">
        <v>1966.24999999995</v>
      </c>
      <c r="F600" s="1">
        <v>0.9801084072314028</v>
      </c>
      <c r="G600" s="7">
        <v>1966.24999999996</v>
      </c>
      <c r="H600" s="1">
        <v>0.97994524891715884</v>
      </c>
      <c r="I600" s="7">
        <v>1966.24999999995</v>
      </c>
      <c r="J600" s="1">
        <v>0.99812343979416951</v>
      </c>
      <c r="L600" s="1">
        <f t="shared" si="68"/>
        <v>0.98605903198091038</v>
      </c>
      <c r="M600" s="1"/>
      <c r="N600" s="1"/>
      <c r="R600" s="7">
        <f t="shared" si="69"/>
        <v>-0.51632722492938354</v>
      </c>
      <c r="S600" s="7">
        <f t="shared" si="73"/>
        <v>-1.4551355375045689</v>
      </c>
      <c r="T600" s="7">
        <f t="shared" si="70"/>
        <v>-0.82676683760887226</v>
      </c>
      <c r="V600" s="7">
        <f t="shared" si="71"/>
        <v>-0.93274320001427491</v>
      </c>
      <c r="AF600" s="7">
        <f t="shared" si="72"/>
        <v>-1.0797401148567074</v>
      </c>
    </row>
    <row r="601" spans="1:32" x14ac:dyDescent="0.35">
      <c r="A601" t="s">
        <v>38</v>
      </c>
      <c r="B601">
        <v>1966</v>
      </c>
      <c r="E601" s="7">
        <v>1966.1666666666199</v>
      </c>
      <c r="F601" s="1">
        <v>0.98638230945685712</v>
      </c>
      <c r="G601" s="7">
        <v>1966.1666666666199</v>
      </c>
      <c r="H601" s="1">
        <v>0.98651976481807679</v>
      </c>
      <c r="I601" s="7">
        <v>1966.1666666666199</v>
      </c>
      <c r="J601" s="1">
        <v>0.99836787278296912</v>
      </c>
      <c r="L601" s="1">
        <f t="shared" si="68"/>
        <v>0.99042331568596775</v>
      </c>
      <c r="M601" s="1"/>
      <c r="N601" s="1"/>
      <c r="R601" s="7">
        <f t="shared" si="69"/>
        <v>-0.32309142435205418</v>
      </c>
      <c r="S601" s="7">
        <f t="shared" si="73"/>
        <v>-1.2710469233634996</v>
      </c>
      <c r="T601" s="7">
        <f t="shared" si="70"/>
        <v>-0.81912820256593799</v>
      </c>
      <c r="V601" s="7">
        <f t="shared" si="71"/>
        <v>-0.80442218342716387</v>
      </c>
      <c r="AF601" s="7">
        <f t="shared" si="72"/>
        <v>-0.93325144347952782</v>
      </c>
    </row>
    <row r="602" spans="1:32" x14ac:dyDescent="0.35">
      <c r="A602" t="s">
        <v>36</v>
      </c>
      <c r="B602">
        <v>1966</v>
      </c>
      <c r="E602" s="7">
        <v>1966.0833333332901</v>
      </c>
      <c r="F602" s="1">
        <v>1.0032202457358399</v>
      </c>
      <c r="G602" s="7">
        <v>1966.0833333332901</v>
      </c>
      <c r="H602" s="1">
        <v>1.0072140042893452</v>
      </c>
      <c r="I602" s="7">
        <v>1966.0833333332901</v>
      </c>
      <c r="J602" s="1">
        <v>1.0147057228781167</v>
      </c>
      <c r="L602" s="1">
        <f t="shared" si="68"/>
        <v>1.0083799909677673</v>
      </c>
      <c r="M602" s="1"/>
      <c r="N602" s="1"/>
      <c r="R602" s="7">
        <f t="shared" si="69"/>
        <v>0.19551597181336527</v>
      </c>
      <c r="S602" s="7">
        <f t="shared" si="73"/>
        <v>-0.6916013911932446</v>
      </c>
      <c r="T602" s="7">
        <f t="shared" si="70"/>
        <v>-0.30856342619972205</v>
      </c>
      <c r="V602" s="7">
        <f t="shared" si="71"/>
        <v>-0.26821628185986712</v>
      </c>
      <c r="AF602" s="7">
        <f t="shared" si="72"/>
        <v>-0.33052951196667252</v>
      </c>
    </row>
    <row r="603" spans="1:32" x14ac:dyDescent="0.35">
      <c r="A603" t="s">
        <v>34</v>
      </c>
      <c r="B603">
        <v>1966</v>
      </c>
      <c r="E603" s="7">
        <v>1965.99999999995</v>
      </c>
      <c r="F603" s="1">
        <v>1.0149727441201586</v>
      </c>
      <c r="G603" s="7">
        <v>1965.99999999996</v>
      </c>
      <c r="H603" s="1">
        <v>1.0442300423036455</v>
      </c>
      <c r="I603" s="7">
        <v>1965.99999999995</v>
      </c>
      <c r="J603" s="1">
        <v>1.0384388298903162</v>
      </c>
      <c r="L603" s="1">
        <f t="shared" si="68"/>
        <v>1.0325472054380402</v>
      </c>
      <c r="M603" s="1"/>
      <c r="N603" s="1"/>
      <c r="R603" s="7">
        <f t="shared" si="69"/>
        <v>0.55749219529732918</v>
      </c>
      <c r="S603" s="7">
        <f t="shared" si="73"/>
        <v>0.34485988469997531</v>
      </c>
      <c r="T603" s="7">
        <f t="shared" si="70"/>
        <v>0.43310627964230025</v>
      </c>
      <c r="V603" s="7">
        <f t="shared" si="71"/>
        <v>0.44515278654653495</v>
      </c>
      <c r="AF603" s="7">
        <f t="shared" si="72"/>
        <v>0.48065128604954876</v>
      </c>
    </row>
    <row r="604" spans="1:32" x14ac:dyDescent="0.35">
      <c r="A604" t="s">
        <v>33</v>
      </c>
      <c r="B604">
        <v>1965</v>
      </c>
      <c r="E604" s="7">
        <v>1965.9166666666199</v>
      </c>
      <c r="F604" s="1">
        <v>1.0197076272836669</v>
      </c>
      <c r="G604" s="7">
        <v>1965.9166666666199</v>
      </c>
      <c r="H604" s="1">
        <v>1.0449627191419348</v>
      </c>
      <c r="I604" s="7">
        <v>1965.9166666666199</v>
      </c>
      <c r="J604" s="1">
        <v>1.0414823982027357</v>
      </c>
      <c r="L604" s="1">
        <f t="shared" si="68"/>
        <v>1.0353842482094457</v>
      </c>
      <c r="M604" s="1"/>
      <c r="N604" s="1"/>
      <c r="R604" s="7">
        <f t="shared" si="69"/>
        <v>0.70332630393685247</v>
      </c>
      <c r="S604" s="7">
        <f t="shared" si="73"/>
        <v>0.36537507788022427</v>
      </c>
      <c r="T604" s="7">
        <f t="shared" si="70"/>
        <v>0.52821908614597124</v>
      </c>
      <c r="V604" s="7">
        <f t="shared" si="71"/>
        <v>0.53230682265434937</v>
      </c>
      <c r="AF604" s="7">
        <f t="shared" si="72"/>
        <v>0.57587759449091547</v>
      </c>
    </row>
    <row r="605" spans="1:32" x14ac:dyDescent="0.35">
      <c r="A605" t="s">
        <v>35</v>
      </c>
      <c r="B605">
        <v>1965</v>
      </c>
      <c r="E605" s="7">
        <v>1965.8333333332901</v>
      </c>
      <c r="F605" s="1">
        <v>1.0246677667959423</v>
      </c>
      <c r="G605" s="7">
        <v>1965.8333333332901</v>
      </c>
      <c r="H605" s="1">
        <v>1.0158327019346387</v>
      </c>
      <c r="I605" s="7">
        <v>1965.8333333332901</v>
      </c>
      <c r="J605" s="1">
        <v>1.0364565195565913</v>
      </c>
      <c r="L605" s="1">
        <f t="shared" si="68"/>
        <v>1.0256523294290576</v>
      </c>
      <c r="M605" s="1"/>
      <c r="N605" s="1"/>
      <c r="R605" s="7">
        <f t="shared" si="69"/>
        <v>0.85609829418895844</v>
      </c>
      <c r="S605" s="7">
        <f t="shared" si="73"/>
        <v>-0.45027501383952023</v>
      </c>
      <c r="T605" s="7">
        <f t="shared" si="70"/>
        <v>0.37115823713165946</v>
      </c>
      <c r="V605" s="7">
        <f t="shared" si="71"/>
        <v>0.25899383916036589</v>
      </c>
      <c r="AF605" s="7">
        <f t="shared" si="72"/>
        <v>0.2492224207134488</v>
      </c>
    </row>
    <row r="606" spans="1:32" x14ac:dyDescent="0.35">
      <c r="A606" t="s">
        <v>37</v>
      </c>
      <c r="B606">
        <v>1965</v>
      </c>
      <c r="E606" s="7">
        <v>1965.74999999995</v>
      </c>
      <c r="F606" s="1">
        <v>1.0255489962816535</v>
      </c>
      <c r="G606" s="7">
        <v>1965.74999999996</v>
      </c>
      <c r="H606" s="1">
        <v>1.0023963805232421</v>
      </c>
      <c r="I606" s="7">
        <v>1965.74999999995</v>
      </c>
      <c r="J606" s="1">
        <v>1.0355068750935785</v>
      </c>
      <c r="L606" s="1">
        <f t="shared" si="68"/>
        <v>1.0211507506328248</v>
      </c>
      <c r="M606" s="1"/>
      <c r="N606" s="1"/>
      <c r="R606" s="7">
        <f t="shared" si="69"/>
        <v>0.88324010785524132</v>
      </c>
      <c r="S606" s="7">
        <f t="shared" si="73"/>
        <v>-0.82649644596543914</v>
      </c>
      <c r="T606" s="7">
        <f t="shared" si="70"/>
        <v>0.34148144305766059</v>
      </c>
      <c r="V606" s="7">
        <f t="shared" si="71"/>
        <v>0.13274170164915425</v>
      </c>
      <c r="AF606" s="7">
        <f t="shared" si="72"/>
        <v>9.8125392764584332E-2</v>
      </c>
    </row>
    <row r="607" spans="1:32" x14ac:dyDescent="0.35">
      <c r="A607" t="s">
        <v>39</v>
      </c>
      <c r="B607">
        <v>1965</v>
      </c>
      <c r="E607" s="7">
        <v>1965.6666666666199</v>
      </c>
      <c r="F607" s="1">
        <v>1.0081631353977605</v>
      </c>
      <c r="G607" s="7">
        <v>1965.6666666666199</v>
      </c>
      <c r="H607" s="1">
        <v>0.99190034931470616</v>
      </c>
      <c r="I607" s="7">
        <v>1965.6666666666199</v>
      </c>
      <c r="J607" s="1">
        <v>1.0311030104514547</v>
      </c>
      <c r="L607" s="1">
        <f t="shared" si="68"/>
        <v>1.010388831721307</v>
      </c>
      <c r="M607" s="1"/>
      <c r="N607" s="1"/>
      <c r="R607" s="7">
        <f t="shared" si="69"/>
        <v>0.34775666774124325</v>
      </c>
      <c r="S607" s="7">
        <f t="shared" si="73"/>
        <v>-1.1203887824173158</v>
      </c>
      <c r="T607" s="7">
        <f t="shared" si="70"/>
        <v>0.20385879668383639</v>
      </c>
      <c r="V607" s="7">
        <f t="shared" si="71"/>
        <v>-0.18959110599741202</v>
      </c>
      <c r="AF607" s="7">
        <f t="shared" si="72"/>
        <v>-0.26310208678499714</v>
      </c>
    </row>
    <row r="608" spans="1:32" x14ac:dyDescent="0.35">
      <c r="A608" t="s">
        <v>41</v>
      </c>
      <c r="B608">
        <v>1965</v>
      </c>
      <c r="E608" s="7">
        <v>1965.5833333332901</v>
      </c>
      <c r="F608" s="1">
        <v>0.98793637462717887</v>
      </c>
      <c r="G608" s="7">
        <v>1965.5833333332901</v>
      </c>
      <c r="H608" s="1">
        <v>0.98354519636196513</v>
      </c>
      <c r="I608" s="7">
        <v>1965.5833333332901</v>
      </c>
      <c r="J608" s="1">
        <v>1.0271057043278125</v>
      </c>
      <c r="L608" s="1">
        <f t="shared" si="68"/>
        <v>0.99952909177231886</v>
      </c>
      <c r="M608" s="1"/>
      <c r="N608" s="1"/>
      <c r="R608" s="7">
        <f t="shared" si="69"/>
        <v>-0.27522631320669821</v>
      </c>
      <c r="S608" s="7">
        <f t="shared" si="73"/>
        <v>-1.3543358214368741</v>
      </c>
      <c r="T608" s="7">
        <f t="shared" si="70"/>
        <v>7.894127723059674E-2</v>
      </c>
      <c r="V608" s="7">
        <f t="shared" si="71"/>
        <v>-0.5168736191376585</v>
      </c>
      <c r="AF608" s="7">
        <f t="shared" si="72"/>
        <v>-0.62761296282760781</v>
      </c>
    </row>
    <row r="609" spans="1:32" x14ac:dyDescent="0.35">
      <c r="A609" t="s">
        <v>43</v>
      </c>
      <c r="B609">
        <v>1965</v>
      </c>
      <c r="E609" s="7">
        <v>1965.49999999995</v>
      </c>
      <c r="F609" s="1">
        <v>0.97707992318813508</v>
      </c>
      <c r="G609" s="7">
        <v>1965.49999999996</v>
      </c>
      <c r="H609" s="1">
        <v>0.97956485007899852</v>
      </c>
      <c r="I609" s="7">
        <v>1965.49999999995</v>
      </c>
      <c r="J609" s="1">
        <v>1.0230736820369908</v>
      </c>
      <c r="L609" s="1">
        <f t="shared" si="68"/>
        <v>0.99323948510137472</v>
      </c>
      <c r="M609" s="1"/>
      <c r="N609" s="1"/>
      <c r="R609" s="7">
        <f t="shared" si="69"/>
        <v>-0.60960434618610304</v>
      </c>
      <c r="S609" s="7">
        <f t="shared" si="73"/>
        <v>-1.4657868304656263</v>
      </c>
      <c r="T609" s="7">
        <f t="shared" si="70"/>
        <v>-4.7061137238145631E-2</v>
      </c>
      <c r="V609" s="7">
        <f t="shared" si="71"/>
        <v>-0.70748410462995837</v>
      </c>
      <c r="AF609" s="7">
        <f t="shared" si="72"/>
        <v>-0.83872575635291791</v>
      </c>
    </row>
    <row r="610" spans="1:32" x14ac:dyDescent="0.35">
      <c r="A610" t="s">
        <v>44</v>
      </c>
      <c r="B610">
        <v>1965</v>
      </c>
      <c r="E610" s="7">
        <v>1965.4166666666199</v>
      </c>
      <c r="F610" s="1">
        <v>0.96477000765175291</v>
      </c>
      <c r="G610" s="7">
        <v>1965.4166666666199</v>
      </c>
      <c r="H610" s="1">
        <v>0.97982524807343829</v>
      </c>
      <c r="I610" s="7">
        <v>1965.4166666666199</v>
      </c>
      <c r="J610" s="1">
        <v>1.0133648420580119</v>
      </c>
      <c r="L610" s="1">
        <f t="shared" si="68"/>
        <v>0.98598669926106774</v>
      </c>
      <c r="M610" s="1"/>
      <c r="N610" s="1"/>
      <c r="R610" s="7">
        <f t="shared" si="69"/>
        <v>-0.98874898348396267</v>
      </c>
      <c r="S610" s="7">
        <f t="shared" si="73"/>
        <v>-1.4584956007167045</v>
      </c>
      <c r="T610" s="7">
        <f t="shared" si="70"/>
        <v>-0.35046652312272925</v>
      </c>
      <c r="V610" s="7">
        <f t="shared" si="71"/>
        <v>-0.93257036910779867</v>
      </c>
      <c r="AF610" s="7">
        <f t="shared" si="72"/>
        <v>-1.0821679872735641</v>
      </c>
    </row>
    <row r="611" spans="1:32" x14ac:dyDescent="0.35">
      <c r="A611" t="s">
        <v>42</v>
      </c>
      <c r="B611">
        <v>1965</v>
      </c>
      <c r="E611" s="7">
        <v>1965.3333333332901</v>
      </c>
      <c r="F611" s="1">
        <v>0.97100756183817705</v>
      </c>
      <c r="G611" s="7">
        <v>1965.3333333332901</v>
      </c>
      <c r="H611" s="1">
        <v>0.97601155576818288</v>
      </c>
      <c r="I611" s="7">
        <v>1965.3333333332901</v>
      </c>
      <c r="J611" s="1">
        <v>0.9968760816703206</v>
      </c>
      <c r="L611" s="1">
        <f t="shared" si="68"/>
        <v>0.98129839975889344</v>
      </c>
      <c r="M611" s="1"/>
      <c r="N611" s="1"/>
      <c r="R611" s="7">
        <f t="shared" si="69"/>
        <v>-0.7966327002610667</v>
      </c>
      <c r="S611" s="7">
        <f t="shared" si="73"/>
        <v>-1.5652802433908375</v>
      </c>
      <c r="T611" s="7">
        <f t="shared" si="70"/>
        <v>-0.8657473104276705</v>
      </c>
      <c r="V611" s="7">
        <f t="shared" si="71"/>
        <v>-1.0758867513598582</v>
      </c>
      <c r="AF611" s="7">
        <f t="shared" si="72"/>
        <v>-1.2395323594146228</v>
      </c>
    </row>
    <row r="612" spans="1:32" x14ac:dyDescent="0.35">
      <c r="A612" t="s">
        <v>40</v>
      </c>
      <c r="B612">
        <v>1965</v>
      </c>
      <c r="E612" s="7">
        <v>1965.24999999995</v>
      </c>
      <c r="F612" s="1">
        <v>0.9563059594852199</v>
      </c>
      <c r="G612" s="7">
        <v>1965.24999999995</v>
      </c>
      <c r="H612" s="1">
        <v>0.97279977317890443</v>
      </c>
      <c r="I612" s="7">
        <v>1965.24999999995</v>
      </c>
      <c r="J612" s="1">
        <v>0.98947200104379229</v>
      </c>
      <c r="L612" s="1">
        <f t="shared" si="68"/>
        <v>0.9728592445693055</v>
      </c>
      <c r="M612" s="1"/>
      <c r="N612" s="1"/>
      <c r="R612" s="7">
        <f t="shared" si="69"/>
        <v>-1.2494411436118877</v>
      </c>
      <c r="S612" s="7">
        <f t="shared" si="73"/>
        <v>-1.6552112154491958</v>
      </c>
      <c r="T612" s="7">
        <f t="shared" si="70"/>
        <v>-1.0971279845840347</v>
      </c>
      <c r="V612" s="7">
        <f t="shared" si="71"/>
        <v>-1.3339267812150393</v>
      </c>
      <c r="AF612" s="7">
        <f t="shared" si="72"/>
        <v>-1.5227954822578971</v>
      </c>
    </row>
    <row r="613" spans="1:32" x14ac:dyDescent="0.35">
      <c r="A613" t="s">
        <v>38</v>
      </c>
      <c r="B613">
        <v>1965</v>
      </c>
      <c r="E613" s="7">
        <v>1965.1666666666199</v>
      </c>
      <c r="F613" s="1">
        <v>0.95414175469332907</v>
      </c>
      <c r="G613" s="7">
        <v>1965.1666666666199</v>
      </c>
      <c r="H613" s="1">
        <v>0.97209789308098016</v>
      </c>
      <c r="I613" s="7">
        <v>1965.1666666666199</v>
      </c>
      <c r="J613" s="1">
        <v>0.98852689036444175</v>
      </c>
      <c r="L613" s="1">
        <f t="shared" si="68"/>
        <v>0.97158884604625018</v>
      </c>
      <c r="M613" s="1"/>
      <c r="N613" s="1"/>
      <c r="R613" s="7">
        <f t="shared" si="69"/>
        <v>-1.3160985173716508</v>
      </c>
      <c r="S613" s="7">
        <f t="shared" si="73"/>
        <v>-1.6748640897394591</v>
      </c>
      <c r="T613" s="7">
        <f t="shared" si="70"/>
        <v>-1.1266630959869268</v>
      </c>
      <c r="V613" s="7">
        <f t="shared" si="71"/>
        <v>-1.3725419010326789</v>
      </c>
      <c r="AF613" s="7">
        <f t="shared" si="72"/>
        <v>-1.565436842063689</v>
      </c>
    </row>
    <row r="614" spans="1:32" x14ac:dyDescent="0.35">
      <c r="A614" t="s">
        <v>36</v>
      </c>
      <c r="B614">
        <v>1965</v>
      </c>
      <c r="E614" s="7">
        <v>1965.0833333332901</v>
      </c>
      <c r="F614" s="1">
        <v>0.96421343815096017</v>
      </c>
      <c r="G614" s="7">
        <v>1965.0833333332901</v>
      </c>
      <c r="H614" s="1">
        <v>0.99392854720356161</v>
      </c>
      <c r="I614" s="7">
        <v>1965.0833333332901</v>
      </c>
      <c r="J614" s="1">
        <v>1.0215399485971344</v>
      </c>
      <c r="L614" s="1">
        <f t="shared" si="68"/>
        <v>0.99322731131721875</v>
      </c>
      <c r="M614" s="1"/>
      <c r="N614" s="1"/>
      <c r="R614" s="7">
        <f t="shared" si="69"/>
        <v>-1.0058912896911372</v>
      </c>
      <c r="S614" s="7">
        <f t="shared" si="73"/>
        <v>-1.0635985724322565</v>
      </c>
      <c r="T614" s="7">
        <f t="shared" si="70"/>
        <v>-9.4990960695042981E-2</v>
      </c>
      <c r="V614" s="7">
        <f t="shared" si="71"/>
        <v>-0.72149360760614556</v>
      </c>
      <c r="AF614" s="7">
        <f t="shared" si="72"/>
        <v>-0.83913437357103637</v>
      </c>
    </row>
    <row r="615" spans="1:32" x14ac:dyDescent="0.35">
      <c r="A615" t="s">
        <v>34</v>
      </c>
      <c r="B615">
        <v>1965</v>
      </c>
      <c r="E615" s="7">
        <v>1964.99999999995</v>
      </c>
      <c r="F615" s="1">
        <v>1.0162342341874502</v>
      </c>
      <c r="G615" s="7">
        <v>1964.99999999995</v>
      </c>
      <c r="H615" s="1">
        <v>1.0511083018659058</v>
      </c>
      <c r="I615" s="7">
        <v>1964.99999999995</v>
      </c>
      <c r="J615" s="1">
        <v>1.1480881241279313</v>
      </c>
      <c r="L615" s="1">
        <f t="shared" si="68"/>
        <v>1.0718102200604289</v>
      </c>
      <c r="M615" s="1"/>
      <c r="N615" s="1"/>
      <c r="R615" s="7">
        <f t="shared" si="69"/>
        <v>0.59634601136166676</v>
      </c>
      <c r="S615" s="7">
        <f t="shared" si="73"/>
        <v>0.53745342156285869</v>
      </c>
      <c r="T615" s="7">
        <f t="shared" si="70"/>
        <v>3.8596934416685142</v>
      </c>
      <c r="V615" s="7">
        <f t="shared" si="71"/>
        <v>1.6644976248643466</v>
      </c>
      <c r="AF615" s="7">
        <f t="shared" si="72"/>
        <v>1.7985277659015577</v>
      </c>
    </row>
    <row r="616" spans="1:32" x14ac:dyDescent="0.35">
      <c r="A616" t="s">
        <v>33</v>
      </c>
      <c r="B616">
        <v>1964</v>
      </c>
      <c r="E616" s="7">
        <v>1964.9166666666199</v>
      </c>
      <c r="F616" s="1">
        <v>1.0549525553390102</v>
      </c>
      <c r="G616" s="7">
        <v>1964.9166666666199</v>
      </c>
      <c r="H616" s="1">
        <v>1.0721144114255201</v>
      </c>
      <c r="I616" s="7">
        <v>1964.9166666666199</v>
      </c>
      <c r="J616" s="1">
        <v>1.0512640725318683</v>
      </c>
      <c r="L616" s="1">
        <f t="shared" si="68"/>
        <v>1.0594436797654663</v>
      </c>
      <c r="M616" s="1"/>
      <c r="N616" s="1"/>
      <c r="R616" s="7">
        <f t="shared" si="69"/>
        <v>1.7888679085593973</v>
      </c>
      <c r="S616" s="7">
        <f t="shared" si="73"/>
        <v>1.1256314190919168</v>
      </c>
      <c r="T616" s="7">
        <f t="shared" si="70"/>
        <v>0.8339005765046098</v>
      </c>
      <c r="V616" s="7">
        <f t="shared" si="71"/>
        <v>1.2494666347186414</v>
      </c>
      <c r="AF616" s="7">
        <f t="shared" si="72"/>
        <v>1.3834406222215576</v>
      </c>
    </row>
    <row r="617" spans="1:32" x14ac:dyDescent="0.35">
      <c r="A617" t="s">
        <v>35</v>
      </c>
      <c r="B617">
        <v>1964</v>
      </c>
      <c r="E617" s="7">
        <v>1964.8333333332901</v>
      </c>
      <c r="F617" s="1">
        <v>1.0526508240980428</v>
      </c>
      <c r="G617" s="7">
        <v>1964.8333333332901</v>
      </c>
      <c r="H617" s="1">
        <v>1.0450212641428172</v>
      </c>
      <c r="I617" s="7">
        <v>1964.8333333332901</v>
      </c>
      <c r="J617" s="1">
        <v>1.0241238841873921</v>
      </c>
      <c r="L617" s="1">
        <f t="shared" si="68"/>
        <v>1.0405986574760842</v>
      </c>
      <c r="M617" s="1"/>
      <c r="N617" s="1"/>
      <c r="R617" s="7">
        <f t="shared" si="69"/>
        <v>1.7179747286724594</v>
      </c>
      <c r="S617" s="7">
        <f t="shared" si="73"/>
        <v>0.36701435721876968</v>
      </c>
      <c r="T617" s="7">
        <f t="shared" si="70"/>
        <v>-1.4241872589719571E-2</v>
      </c>
      <c r="V617" s="7">
        <f t="shared" si="71"/>
        <v>0.69024907110050304</v>
      </c>
      <c r="AF617" s="7">
        <f t="shared" si="72"/>
        <v>0.75090102035151096</v>
      </c>
    </row>
    <row r="618" spans="1:32" x14ac:dyDescent="0.35">
      <c r="A618" t="s">
        <v>37</v>
      </c>
      <c r="B618">
        <v>1964</v>
      </c>
      <c r="E618" s="7">
        <v>1964.74999999995</v>
      </c>
      <c r="F618" s="1">
        <v>1.0387032339729796</v>
      </c>
      <c r="G618" s="7">
        <v>1964.74999999995</v>
      </c>
      <c r="H618" s="1">
        <v>1.027502195173525</v>
      </c>
      <c r="I618" s="7">
        <v>1964.74999999995</v>
      </c>
      <c r="J618" s="1">
        <v>1.0112511863926821</v>
      </c>
      <c r="L618" s="1">
        <f t="shared" si="68"/>
        <v>1.0258188718463954</v>
      </c>
      <c r="M618" s="1"/>
      <c r="N618" s="1"/>
      <c r="R618" s="7">
        <f t="shared" si="69"/>
        <v>1.2883898153140318</v>
      </c>
      <c r="S618" s="7">
        <f t="shared" si="73"/>
        <v>-0.12352535341581938</v>
      </c>
      <c r="T618" s="7">
        <f t="shared" si="70"/>
        <v>-0.41651916320692445</v>
      </c>
      <c r="V618" s="7">
        <f t="shared" si="71"/>
        <v>0.24944843289709598</v>
      </c>
      <c r="AF618" s="7">
        <f t="shared" si="72"/>
        <v>0.25481247376510774</v>
      </c>
    </row>
    <row r="619" spans="1:32" x14ac:dyDescent="0.35">
      <c r="A619" t="s">
        <v>39</v>
      </c>
      <c r="B619">
        <v>1964</v>
      </c>
      <c r="E619" s="7">
        <v>1964.6666666666199</v>
      </c>
      <c r="F619" s="1">
        <v>1.0089375284257363</v>
      </c>
      <c r="G619" s="7">
        <v>1964.6666666666199</v>
      </c>
      <c r="H619" s="1">
        <v>1.020233791790029</v>
      </c>
      <c r="I619" s="7">
        <v>1964.6666666666199</v>
      </c>
      <c r="J619" s="1">
        <v>1.006359769302871</v>
      </c>
      <c r="L619" s="1">
        <f t="shared" si="68"/>
        <v>1.0118436965062121</v>
      </c>
      <c r="M619" s="1"/>
      <c r="N619" s="1"/>
      <c r="R619" s="7">
        <f t="shared" si="69"/>
        <v>0.37160792511584551</v>
      </c>
      <c r="S619" s="7">
        <f t="shared" si="73"/>
        <v>-0.32704304598071476</v>
      </c>
      <c r="T619" s="7">
        <f t="shared" si="70"/>
        <v>-0.56937803129722708</v>
      </c>
      <c r="V619" s="7">
        <f t="shared" si="71"/>
        <v>-0.17493771738736544</v>
      </c>
      <c r="AF619" s="7">
        <f t="shared" si="72"/>
        <v>-0.21426905397202364</v>
      </c>
    </row>
    <row r="620" spans="1:32" x14ac:dyDescent="0.35">
      <c r="A620" t="s">
        <v>41</v>
      </c>
      <c r="B620">
        <v>1964</v>
      </c>
      <c r="E620" s="7">
        <v>1964.5833333332901</v>
      </c>
      <c r="F620" s="1">
        <v>0.99543231157488454</v>
      </c>
      <c r="G620" s="7">
        <v>1964.5833333332901</v>
      </c>
      <c r="H620" s="1">
        <v>1.0095915280213281</v>
      </c>
      <c r="I620" s="7">
        <v>1964.5833333332901</v>
      </c>
      <c r="J620" s="1">
        <v>0.99919316659247648</v>
      </c>
      <c r="L620" s="1">
        <f t="shared" si="68"/>
        <v>1.0014056687295632</v>
      </c>
      <c r="M620" s="1"/>
      <c r="N620" s="1"/>
      <c r="R620" s="7">
        <f t="shared" si="69"/>
        <v>-4.4351918752424217E-2</v>
      </c>
      <c r="S620" s="7">
        <f t="shared" si="73"/>
        <v>-0.62502994235894516</v>
      </c>
      <c r="T620" s="7">
        <f t="shared" si="70"/>
        <v>-0.79333741939473645</v>
      </c>
      <c r="V620" s="7">
        <f t="shared" si="71"/>
        <v>-0.48757309350203526</v>
      </c>
      <c r="AF620" s="7">
        <f t="shared" si="72"/>
        <v>-0.56462501708860957</v>
      </c>
    </row>
    <row r="621" spans="1:32" x14ac:dyDescent="0.35">
      <c r="A621" t="s">
        <v>43</v>
      </c>
      <c r="B621">
        <v>1964</v>
      </c>
      <c r="E621" s="7">
        <v>1964.49999999995</v>
      </c>
      <c r="F621" s="1">
        <v>0.99213572259765803</v>
      </c>
      <c r="G621" s="7">
        <v>1964.49999999995</v>
      </c>
      <c r="H621" s="1">
        <v>0.99768718117809141</v>
      </c>
      <c r="I621" s="7">
        <v>1964.49999999995</v>
      </c>
      <c r="J621" s="1">
        <v>0.99779989441846384</v>
      </c>
      <c r="L621" s="1">
        <f t="shared" si="68"/>
        <v>0.99587426606473783</v>
      </c>
      <c r="M621" s="1"/>
      <c r="N621" s="1"/>
      <c r="R621" s="7">
        <f t="shared" si="69"/>
        <v>-0.14588665539595469</v>
      </c>
      <c r="S621" s="7">
        <f t="shared" si="73"/>
        <v>-0.95835558118203812</v>
      </c>
      <c r="T621" s="7">
        <f t="shared" si="70"/>
        <v>-0.83687776844918826</v>
      </c>
      <c r="V621" s="7">
        <f t="shared" si="71"/>
        <v>-0.64704000167572706</v>
      </c>
      <c r="AF621" s="7">
        <f t="shared" si="72"/>
        <v>-0.75028843449740068</v>
      </c>
    </row>
    <row r="622" spans="1:32" x14ac:dyDescent="0.35">
      <c r="A622" t="s">
        <v>44</v>
      </c>
      <c r="B622">
        <v>1964</v>
      </c>
      <c r="E622" s="7">
        <v>1964.4166666666199</v>
      </c>
      <c r="F622" s="1">
        <v>0.98159232673721941</v>
      </c>
      <c r="G622" s="7">
        <v>1964.4166666666199</v>
      </c>
      <c r="H622" s="1">
        <v>0.9819760300617687</v>
      </c>
      <c r="I622" s="7">
        <v>1964.4166666666199</v>
      </c>
      <c r="J622" s="1">
        <v>0.99145277347968597</v>
      </c>
      <c r="L622" s="1">
        <f t="shared" si="68"/>
        <v>0.98500704342622469</v>
      </c>
      <c r="M622" s="1"/>
      <c r="N622" s="1"/>
      <c r="R622" s="7">
        <f t="shared" si="69"/>
        <v>-0.47062259591310596</v>
      </c>
      <c r="S622" s="7">
        <f t="shared" si="73"/>
        <v>-1.3982729955061768</v>
      </c>
      <c r="T622" s="7">
        <f t="shared" si="70"/>
        <v>-1.0352280020358544</v>
      </c>
      <c r="V622" s="7">
        <f t="shared" si="71"/>
        <v>-0.96804119781837894</v>
      </c>
      <c r="AF622" s="7">
        <f t="shared" si="72"/>
        <v>-1.1150504695665373</v>
      </c>
    </row>
    <row r="623" spans="1:32" x14ac:dyDescent="0.35">
      <c r="A623" t="s">
        <v>42</v>
      </c>
      <c r="B623">
        <v>1964</v>
      </c>
      <c r="E623" s="7">
        <v>1964.3333333332801</v>
      </c>
      <c r="F623" s="1">
        <v>0.96404627747546778</v>
      </c>
      <c r="G623" s="7">
        <v>1964.3333333332901</v>
      </c>
      <c r="H623" s="1">
        <v>0.98898329268603269</v>
      </c>
      <c r="I623" s="7">
        <v>1964.3333333332801</v>
      </c>
      <c r="J623" s="1">
        <v>0.99608884635270556</v>
      </c>
      <c r="L623" s="1">
        <f t="shared" si="68"/>
        <v>0.98303947217140208</v>
      </c>
      <c r="M623" s="1"/>
      <c r="N623" s="1"/>
      <c r="R623" s="7">
        <f t="shared" si="69"/>
        <v>-1.0110398281593915</v>
      </c>
      <c r="S623" s="7">
        <f t="shared" si="73"/>
        <v>-1.2020673303494218</v>
      </c>
      <c r="T623" s="7">
        <f t="shared" si="70"/>
        <v>-0.89034874951206322</v>
      </c>
      <c r="V623" s="7">
        <f t="shared" si="71"/>
        <v>-1.0344853026736256</v>
      </c>
      <c r="AF623" s="7">
        <f t="shared" si="72"/>
        <v>-1.1810926699452371</v>
      </c>
    </row>
    <row r="624" spans="1:32" x14ac:dyDescent="0.35">
      <c r="A624" t="s">
        <v>40</v>
      </c>
      <c r="B624">
        <v>1964</v>
      </c>
      <c r="E624" s="7">
        <v>1964.24999999995</v>
      </c>
      <c r="F624" s="1">
        <v>0.96332346724679441</v>
      </c>
      <c r="G624" s="7">
        <v>1964.24999999995</v>
      </c>
      <c r="H624" s="1">
        <v>0.98577195179217048</v>
      </c>
      <c r="I624" s="7">
        <v>1964.24999999995</v>
      </c>
      <c r="J624" s="1">
        <v>0.99460455609287024</v>
      </c>
      <c r="L624" s="1">
        <f t="shared" si="68"/>
        <v>0.98123332504394511</v>
      </c>
      <c r="M624" s="1"/>
      <c r="N624" s="1"/>
      <c r="R624" s="7">
        <f t="shared" si="69"/>
        <v>-1.033302338505266</v>
      </c>
      <c r="S624" s="7">
        <f t="shared" si="73"/>
        <v>-1.2919859347904112</v>
      </c>
      <c r="T624" s="7">
        <f t="shared" si="70"/>
        <v>-0.93673345252757512</v>
      </c>
      <c r="V624" s="7">
        <f t="shared" si="71"/>
        <v>-1.0873405752744174</v>
      </c>
      <c r="AF624" s="7">
        <f t="shared" si="72"/>
        <v>-1.2417166144212306</v>
      </c>
    </row>
    <row r="625" spans="1:32" x14ac:dyDescent="0.35">
      <c r="A625" t="s">
        <v>38</v>
      </c>
      <c r="B625">
        <v>1964</v>
      </c>
      <c r="E625" s="7">
        <v>1964.1666666666199</v>
      </c>
      <c r="F625" s="1">
        <v>0.9613225552990674</v>
      </c>
      <c r="G625" s="7">
        <v>1964.1666666666199</v>
      </c>
      <c r="H625" s="1">
        <v>0.98020447276827827</v>
      </c>
      <c r="I625" s="7">
        <v>1964.1666666666199</v>
      </c>
      <c r="J625" s="1">
        <v>0.99250202566032353</v>
      </c>
      <c r="L625" s="1">
        <f t="shared" si="68"/>
        <v>0.97800968457588977</v>
      </c>
      <c r="M625" s="1"/>
      <c r="N625" s="1"/>
      <c r="R625" s="7">
        <f t="shared" si="69"/>
        <v>-1.0949303027625146</v>
      </c>
      <c r="S625" s="7">
        <f t="shared" si="73"/>
        <v>-1.4478771841559637</v>
      </c>
      <c r="T625" s="7">
        <f t="shared" si="70"/>
        <v>-1.0024384243472888</v>
      </c>
      <c r="V625" s="7">
        <f t="shared" si="71"/>
        <v>-1.181748637088589</v>
      </c>
      <c r="AF625" s="7">
        <f t="shared" si="72"/>
        <v>-1.349919206433275</v>
      </c>
    </row>
    <row r="626" spans="1:32" x14ac:dyDescent="0.35">
      <c r="A626" t="s">
        <v>36</v>
      </c>
      <c r="B626">
        <v>1964</v>
      </c>
      <c r="E626" s="7">
        <v>1964.0833333332801</v>
      </c>
      <c r="F626" s="1">
        <v>0.96675679962497263</v>
      </c>
      <c r="G626" s="7">
        <v>1964.0833333332901</v>
      </c>
      <c r="H626" s="1">
        <v>1.0061028837434021</v>
      </c>
      <c r="I626" s="7">
        <v>1964.0833333332801</v>
      </c>
      <c r="J626" s="1">
        <v>1.0120967020391349</v>
      </c>
      <c r="L626" s="1">
        <f t="shared" si="68"/>
        <v>0.99498546180250325</v>
      </c>
      <c r="M626" s="1"/>
      <c r="N626" s="1"/>
      <c r="R626" s="7">
        <f t="shared" si="69"/>
        <v>-0.92755591356838518</v>
      </c>
      <c r="S626" s="7">
        <f t="shared" si="73"/>
        <v>-0.72271313303537354</v>
      </c>
      <c r="T626" s="7">
        <f t="shared" si="70"/>
        <v>-0.39009643901547447</v>
      </c>
      <c r="V626" s="7">
        <f t="shared" si="71"/>
        <v>-0.68012182853974446</v>
      </c>
      <c r="AF626" s="7">
        <f t="shared" si="72"/>
        <v>-0.78012145276297373</v>
      </c>
    </row>
    <row r="627" spans="1:32" x14ac:dyDescent="0.35">
      <c r="A627" t="s">
        <v>34</v>
      </c>
      <c r="B627">
        <v>1964</v>
      </c>
      <c r="E627" s="7">
        <v>1963.99999999995</v>
      </c>
      <c r="F627" s="1">
        <v>1.0068062435249874</v>
      </c>
      <c r="G627" s="7">
        <v>1963.99999999995</v>
      </c>
      <c r="H627" s="1">
        <v>1.0293421308389024</v>
      </c>
      <c r="I627" s="7">
        <v>1963.99999999995</v>
      </c>
      <c r="J627" s="1">
        <v>1.0630610140051497</v>
      </c>
      <c r="L627" s="1">
        <f t="shared" si="68"/>
        <v>1.0330697961230133</v>
      </c>
      <c r="M627" s="1"/>
      <c r="N627" s="1"/>
      <c r="R627" s="7">
        <f t="shared" si="69"/>
        <v>0.30596448196754877</v>
      </c>
      <c r="S627" s="7">
        <f t="shared" si="73"/>
        <v>-7.2006547795355993E-2</v>
      </c>
      <c r="T627" s="7">
        <f t="shared" si="70"/>
        <v>1.2025600237411955</v>
      </c>
      <c r="V627" s="7">
        <f t="shared" si="71"/>
        <v>0.47883931930446283</v>
      </c>
      <c r="AF627" s="7">
        <f t="shared" si="72"/>
        <v>0.49819222066548213</v>
      </c>
    </row>
    <row r="628" spans="1:32" x14ac:dyDescent="0.35">
      <c r="A628" t="s">
        <v>33</v>
      </c>
      <c r="B628">
        <v>1963</v>
      </c>
      <c r="E628" s="7">
        <v>1963.9166666666199</v>
      </c>
      <c r="F628" s="1">
        <v>1.0370419253217951</v>
      </c>
      <c r="G628" s="7">
        <v>1963.9166666666199</v>
      </c>
      <c r="H628" s="1">
        <v>1.0417556672763655</v>
      </c>
      <c r="I628" s="7">
        <v>1963.9166666666199</v>
      </c>
      <c r="J628" s="1">
        <v>1.0699003277303665</v>
      </c>
      <c r="L628" s="1">
        <f t="shared" si="68"/>
        <v>1.0495659734428424</v>
      </c>
      <c r="M628" s="1"/>
      <c r="N628" s="1"/>
      <c r="R628" s="7">
        <f t="shared" si="69"/>
        <v>1.2372216115898436</v>
      </c>
      <c r="S628" s="7">
        <f t="shared" si="73"/>
        <v>0.27557656764637384</v>
      </c>
      <c r="T628" s="7">
        <f t="shared" si="70"/>
        <v>1.4162914916073865</v>
      </c>
      <c r="V628" s="7">
        <f t="shared" si="71"/>
        <v>0.97636322361453465</v>
      </c>
      <c r="AF628" s="7">
        <f t="shared" si="72"/>
        <v>1.0518920398554821</v>
      </c>
    </row>
    <row r="629" spans="1:32" x14ac:dyDescent="0.35">
      <c r="A629" t="s">
        <v>35</v>
      </c>
      <c r="B629">
        <v>1963</v>
      </c>
      <c r="E629" s="7">
        <v>1963.8333333332801</v>
      </c>
      <c r="F629" s="1">
        <v>1.0419731301521686</v>
      </c>
      <c r="G629" s="7">
        <v>1963.8333333332901</v>
      </c>
      <c r="H629" s="1">
        <v>1.0435435195379406</v>
      </c>
      <c r="I629" s="7">
        <v>1963.8333333332801</v>
      </c>
      <c r="J629" s="1">
        <v>1.0583003207396409</v>
      </c>
      <c r="L629" s="1">
        <f t="shared" si="68"/>
        <v>1.0479389901432501</v>
      </c>
      <c r="M629" s="1"/>
      <c r="N629" s="1"/>
      <c r="R629" s="7">
        <f t="shared" si="69"/>
        <v>1.3891024154286424</v>
      </c>
      <c r="S629" s="7">
        <f t="shared" si="73"/>
        <v>0.32563702077819734</v>
      </c>
      <c r="T629" s="7">
        <f t="shared" si="70"/>
        <v>1.0537863308564379</v>
      </c>
      <c r="V629" s="7">
        <f t="shared" si="71"/>
        <v>0.92284192235442586</v>
      </c>
      <c r="AF629" s="7">
        <f t="shared" si="72"/>
        <v>0.99728179038110554</v>
      </c>
    </row>
    <row r="630" spans="1:32" x14ac:dyDescent="0.35">
      <c r="A630" t="s">
        <v>37</v>
      </c>
      <c r="B630">
        <v>1963</v>
      </c>
      <c r="E630" s="7">
        <v>1963.74999999995</v>
      </c>
      <c r="F630" s="1">
        <v>1.0422152968359228</v>
      </c>
      <c r="G630" s="7">
        <v>1963.74999999995</v>
      </c>
      <c r="H630" s="1">
        <v>1.0523341194406326</v>
      </c>
      <c r="I630" s="7">
        <v>1963.74999999995</v>
      </c>
      <c r="J630" s="1">
        <v>1.0364831364815552</v>
      </c>
      <c r="L630" s="1">
        <f t="shared" si="68"/>
        <v>1.0436775175860369</v>
      </c>
      <c r="M630" s="1"/>
      <c r="N630" s="1"/>
      <c r="R630" s="7">
        <f t="shared" si="69"/>
        <v>1.3965611343131261</v>
      </c>
      <c r="S630" s="7">
        <f t="shared" si="73"/>
        <v>0.57177671804917851</v>
      </c>
      <c r="T630" s="7">
        <f t="shared" si="70"/>
        <v>0.37199002737716841</v>
      </c>
      <c r="V630" s="7">
        <f t="shared" si="71"/>
        <v>0.78010929324649103</v>
      </c>
      <c r="AF630" s="7">
        <f t="shared" si="72"/>
        <v>0.85424401025396135</v>
      </c>
    </row>
    <row r="631" spans="1:32" x14ac:dyDescent="0.35">
      <c r="A631" t="s">
        <v>39</v>
      </c>
      <c r="B631">
        <v>1963</v>
      </c>
      <c r="E631" s="7">
        <v>1963.6666666666199</v>
      </c>
      <c r="F631" s="1">
        <v>1.0185980928057154</v>
      </c>
      <c r="G631" s="7">
        <v>1963.6666666666199</v>
      </c>
      <c r="H631" s="1">
        <v>1.0510912832360881</v>
      </c>
      <c r="I631" s="7">
        <v>1963.6666666666199</v>
      </c>
      <c r="J631" s="1">
        <v>1.025026084897293</v>
      </c>
      <c r="L631" s="1">
        <f t="shared" si="68"/>
        <v>1.0315718203130322</v>
      </c>
      <c r="M631" s="1"/>
      <c r="N631" s="1"/>
      <c r="R631" s="7">
        <f t="shared" si="69"/>
        <v>0.66915271062753412</v>
      </c>
      <c r="S631" s="7">
        <f t="shared" si="73"/>
        <v>0.53697689431356443</v>
      </c>
      <c r="T631" s="7">
        <f t="shared" si="70"/>
        <v>1.3952283985679229E-2</v>
      </c>
      <c r="V631" s="7">
        <f t="shared" si="71"/>
        <v>0.40669396297559257</v>
      </c>
      <c r="AF631" s="7">
        <f t="shared" si="72"/>
        <v>0.44791215158908271</v>
      </c>
    </row>
    <row r="632" spans="1:32" x14ac:dyDescent="0.35">
      <c r="A632" t="s">
        <v>41</v>
      </c>
      <c r="B632">
        <v>1963</v>
      </c>
      <c r="E632" s="7">
        <v>1963.5833333332801</v>
      </c>
      <c r="F632" s="1">
        <v>0.99509556391210086</v>
      </c>
      <c r="G632" s="7">
        <v>1963.5833333332901</v>
      </c>
      <c r="H632" s="1">
        <v>1.0281232748712732</v>
      </c>
      <c r="I632" s="7">
        <v>1963.5833333332801</v>
      </c>
      <c r="J632" s="1">
        <v>1.0175469868664231</v>
      </c>
      <c r="L632" s="1">
        <f t="shared" si="68"/>
        <v>1.0135886085499324</v>
      </c>
      <c r="M632" s="1"/>
      <c r="N632" s="1"/>
      <c r="R632" s="7">
        <f t="shared" si="69"/>
        <v>-5.4723725942300884E-2</v>
      </c>
      <c r="S632" s="7">
        <f t="shared" si="73"/>
        <v>-0.10613491698632506</v>
      </c>
      <c r="T632" s="7">
        <f t="shared" si="70"/>
        <v>-0.21977271601822129</v>
      </c>
      <c r="V632" s="7">
        <f t="shared" si="71"/>
        <v>-0.12687711964894907</v>
      </c>
      <c r="AF632" s="7">
        <f t="shared" si="72"/>
        <v>-0.15570048597118041</v>
      </c>
    </row>
    <row r="633" spans="1:32" x14ac:dyDescent="0.35">
      <c r="A633" t="s">
        <v>43</v>
      </c>
      <c r="B633">
        <v>1963</v>
      </c>
      <c r="E633" s="7">
        <v>1963.49999999995</v>
      </c>
      <c r="F633" s="1">
        <v>0.98653461781568075</v>
      </c>
      <c r="G633" s="7">
        <v>1963.49999999995</v>
      </c>
      <c r="H633" s="1">
        <v>1.0215038148183169</v>
      </c>
      <c r="I633" s="7">
        <v>1963.49999999995</v>
      </c>
      <c r="J633" s="1">
        <v>1.0097513405333411</v>
      </c>
      <c r="L633" s="1">
        <f t="shared" si="68"/>
        <v>1.0059299243891129</v>
      </c>
      <c r="M633" s="1"/>
      <c r="N633" s="1"/>
      <c r="R633" s="7">
        <f t="shared" si="69"/>
        <v>-0.31840033631875742</v>
      </c>
      <c r="S633" s="7">
        <f t="shared" si="73"/>
        <v>-0.29148198221142546</v>
      </c>
      <c r="T633" s="7">
        <f t="shared" si="70"/>
        <v>-0.46338998533459447</v>
      </c>
      <c r="V633" s="7">
        <f t="shared" si="71"/>
        <v>-0.35775743462159243</v>
      </c>
      <c r="AF633" s="7">
        <f t="shared" si="72"/>
        <v>-0.41276683248660456</v>
      </c>
    </row>
    <row r="634" spans="1:32" x14ac:dyDescent="0.35">
      <c r="A634" t="s">
        <v>44</v>
      </c>
      <c r="B634">
        <v>1963</v>
      </c>
      <c r="E634" s="7">
        <v>1963.4166666666199</v>
      </c>
      <c r="F634" s="1">
        <v>0.97894037251722288</v>
      </c>
      <c r="G634" s="7">
        <v>1963.4166666666199</v>
      </c>
      <c r="H634" s="1">
        <v>1.0123831938351866</v>
      </c>
      <c r="I634" s="7">
        <v>1963.4166666666199</v>
      </c>
      <c r="J634" s="1">
        <v>1.0114755498461352</v>
      </c>
      <c r="L634" s="1">
        <f t="shared" si="68"/>
        <v>1.0009330387328481</v>
      </c>
      <c r="M634" s="1"/>
      <c r="N634" s="1"/>
      <c r="R634" s="7">
        <f t="shared" si="69"/>
        <v>-0.55230262189699009</v>
      </c>
      <c r="S634" s="7">
        <f t="shared" si="73"/>
        <v>-0.54686237860775644</v>
      </c>
      <c r="T634" s="7">
        <f t="shared" si="70"/>
        <v>-0.40950770969438033</v>
      </c>
      <c r="V634" s="7">
        <f t="shared" si="71"/>
        <v>-0.50289090339970899</v>
      </c>
      <c r="AF634" s="7">
        <f t="shared" si="72"/>
        <v>-0.58048900415974281</v>
      </c>
    </row>
    <row r="635" spans="1:32" x14ac:dyDescent="0.35">
      <c r="A635" t="s">
        <v>42</v>
      </c>
      <c r="B635">
        <v>1963</v>
      </c>
      <c r="E635" s="7">
        <v>1963.3333333332801</v>
      </c>
      <c r="F635" s="1">
        <v>0.97485946809429336</v>
      </c>
      <c r="G635" s="7">
        <v>1963.3333333332801</v>
      </c>
      <c r="H635" s="1">
        <v>0.99459959330556935</v>
      </c>
      <c r="I635" s="7">
        <v>1963.3333333332801</v>
      </c>
      <c r="J635" s="1">
        <v>0.99851469093071232</v>
      </c>
      <c r="L635" s="1">
        <f t="shared" si="68"/>
        <v>0.98932458411019164</v>
      </c>
      <c r="M635" s="1"/>
      <c r="N635" s="1"/>
      <c r="R635" s="7">
        <f t="shared" si="69"/>
        <v>-0.67799422576753743</v>
      </c>
      <c r="S635" s="7">
        <f t="shared" si="73"/>
        <v>-1.0448090601997098</v>
      </c>
      <c r="T635" s="7">
        <f t="shared" si="70"/>
        <v>-0.81454007289572683</v>
      </c>
      <c r="V635" s="7">
        <f t="shared" si="71"/>
        <v>-0.84578111962099134</v>
      </c>
      <c r="AF635" s="7">
        <f t="shared" si="72"/>
        <v>-0.97013074363801322</v>
      </c>
    </row>
    <row r="636" spans="1:32" x14ac:dyDescent="0.35">
      <c r="A636" t="s">
        <v>40</v>
      </c>
      <c r="B636">
        <v>1963</v>
      </c>
      <c r="E636" s="7">
        <v>1963.24999999995</v>
      </c>
      <c r="F636" s="1">
        <v>0.97524086849781977</v>
      </c>
      <c r="G636" s="7">
        <v>1963.24999999995</v>
      </c>
      <c r="H636" s="1">
        <v>0.97995512333416845</v>
      </c>
      <c r="I636" s="7">
        <v>1963.24999999995</v>
      </c>
      <c r="J636" s="1">
        <v>0.99801058299114853</v>
      </c>
      <c r="L636" s="1">
        <f t="shared" si="68"/>
        <v>0.98440219160771225</v>
      </c>
      <c r="M636" s="1"/>
      <c r="N636" s="1"/>
      <c r="R636" s="7">
        <f t="shared" si="69"/>
        <v>-0.66624711692402894</v>
      </c>
      <c r="S636" s="7">
        <f t="shared" si="73"/>
        <v>-1.4548590505707557</v>
      </c>
      <c r="T636" s="7">
        <f t="shared" si="70"/>
        <v>-0.83029366078696742</v>
      </c>
      <c r="V636" s="7">
        <f t="shared" si="71"/>
        <v>-0.98379994276058402</v>
      </c>
      <c r="AF636" s="7">
        <f t="shared" si="72"/>
        <v>-1.1353525271920035</v>
      </c>
    </row>
    <row r="637" spans="1:32" x14ac:dyDescent="0.35">
      <c r="A637" t="s">
        <v>38</v>
      </c>
      <c r="B637">
        <v>1963</v>
      </c>
      <c r="E637" s="7">
        <v>1963.1666666666199</v>
      </c>
      <c r="F637" s="1">
        <v>0.97336998154620347</v>
      </c>
      <c r="G637" s="7">
        <v>1963.1666666666199</v>
      </c>
      <c r="H637" s="1">
        <v>0.98325938991035156</v>
      </c>
      <c r="I637" s="7">
        <v>1963.1666666666199</v>
      </c>
      <c r="J637" s="1">
        <v>1.0008092992583673</v>
      </c>
      <c r="L637" s="1">
        <f t="shared" si="68"/>
        <v>0.98581289023830754</v>
      </c>
      <c r="M637" s="1"/>
      <c r="N637" s="1"/>
      <c r="R637" s="7">
        <f t="shared" si="69"/>
        <v>-0.72387031934157631</v>
      </c>
      <c r="S637" s="7">
        <f t="shared" si="73"/>
        <v>-1.3623384963688452</v>
      </c>
      <c r="T637" s="7">
        <f t="shared" si="70"/>
        <v>-0.74283258501730909</v>
      </c>
      <c r="V637" s="7">
        <f t="shared" si="71"/>
        <v>-0.94301380024257686</v>
      </c>
      <c r="AF637" s="7">
        <f t="shared" si="72"/>
        <v>-1.0880019464151305</v>
      </c>
    </row>
    <row r="638" spans="1:32" x14ac:dyDescent="0.35">
      <c r="A638" t="s">
        <v>36</v>
      </c>
      <c r="B638">
        <v>1963</v>
      </c>
      <c r="E638" s="7">
        <v>1963.0833333332801</v>
      </c>
      <c r="F638" s="1">
        <v>1.0104072623007505</v>
      </c>
      <c r="G638" s="7">
        <v>1963.0833333332801</v>
      </c>
      <c r="H638" s="1">
        <v>1.0041743860629526</v>
      </c>
      <c r="I638" s="7">
        <v>1963.0833333332801</v>
      </c>
      <c r="J638" s="1">
        <v>1.0495320527855909</v>
      </c>
      <c r="L638" s="1">
        <f t="shared" si="68"/>
        <v>1.0213712337164313</v>
      </c>
      <c r="M638" s="1"/>
      <c r="N638" s="1"/>
      <c r="R638" s="7">
        <f t="shared" si="69"/>
        <v>0.41687563758062401</v>
      </c>
      <c r="S638" s="7">
        <f t="shared" si="73"/>
        <v>-0.77671170429423042</v>
      </c>
      <c r="T638" s="7">
        <f t="shared" si="70"/>
        <v>0.77977422149033482</v>
      </c>
      <c r="V638" s="7">
        <f t="shared" si="71"/>
        <v>0.13997938492557613</v>
      </c>
      <c r="AF638" s="7">
        <f t="shared" si="72"/>
        <v>0.10552598268068925</v>
      </c>
    </row>
    <row r="639" spans="1:32" x14ac:dyDescent="0.35">
      <c r="A639" t="s">
        <v>34</v>
      </c>
      <c r="B639">
        <v>1963</v>
      </c>
      <c r="E639" s="7">
        <v>1962.99999999995</v>
      </c>
      <c r="F639" s="1">
        <v>1.0422663899975897</v>
      </c>
      <c r="G639" s="7">
        <v>1962.99999999995</v>
      </c>
      <c r="H639" s="1">
        <v>1.0443630130527581</v>
      </c>
      <c r="I639" s="7">
        <v>1962.99999999995</v>
      </c>
      <c r="J639" s="1">
        <v>1.066354998275981</v>
      </c>
      <c r="L639" s="1">
        <f t="shared" si="68"/>
        <v>1.0509948004421097</v>
      </c>
      <c r="M639" s="1"/>
      <c r="N639" s="1"/>
      <c r="R639" s="7">
        <f t="shared" si="69"/>
        <v>1.3981348005329572</v>
      </c>
      <c r="S639" s="7">
        <f t="shared" si="73"/>
        <v>0.3485831095418277</v>
      </c>
      <c r="T639" s="7">
        <f t="shared" si="70"/>
        <v>1.3054984356372814</v>
      </c>
      <c r="V639" s="7">
        <f t="shared" si="71"/>
        <v>1.0174054485706889</v>
      </c>
      <c r="AF639" s="7">
        <f t="shared" si="72"/>
        <v>1.0998511055110805</v>
      </c>
    </row>
    <row r="640" spans="1:32" x14ac:dyDescent="0.35">
      <c r="A640" t="s">
        <v>33</v>
      </c>
      <c r="B640">
        <v>1962</v>
      </c>
      <c r="E640" s="7">
        <v>1962.9166666666199</v>
      </c>
      <c r="F640" s="1">
        <v>1.0580270269958201</v>
      </c>
      <c r="G640" s="7">
        <v>1962.9166666666199</v>
      </c>
      <c r="H640" s="1">
        <v>1.0688965857685844</v>
      </c>
      <c r="I640" s="7">
        <v>1962.9166666666199</v>
      </c>
      <c r="J640" s="1">
        <v>1.0675175307390452</v>
      </c>
      <c r="L640" s="1">
        <f t="shared" si="68"/>
        <v>1.0648137145011498</v>
      </c>
      <c r="M640" s="1"/>
      <c r="N640" s="1"/>
      <c r="R640" s="7">
        <f t="shared" si="69"/>
        <v>1.8835614454694243</v>
      </c>
      <c r="S640" s="7">
        <f t="shared" si="73"/>
        <v>1.0355312391455624</v>
      </c>
      <c r="T640" s="7">
        <f t="shared" si="70"/>
        <v>1.3418280704157963</v>
      </c>
      <c r="V640" s="7">
        <f t="shared" si="71"/>
        <v>1.4203069183435943</v>
      </c>
      <c r="AF640" s="7">
        <f t="shared" si="72"/>
        <v>1.5636876700401972</v>
      </c>
    </row>
    <row r="641" spans="1:32" x14ac:dyDescent="0.35">
      <c r="A641" t="s">
        <v>35</v>
      </c>
      <c r="B641">
        <v>1962</v>
      </c>
      <c r="E641" s="7">
        <v>1962.8333333332801</v>
      </c>
      <c r="F641" s="1">
        <v>1.0703703020912942</v>
      </c>
      <c r="G641" s="7">
        <v>1962.8333333332801</v>
      </c>
      <c r="H641" s="1">
        <v>1.06534482338201</v>
      </c>
      <c r="I641" s="7">
        <v>1962.8333333332801</v>
      </c>
      <c r="J641" s="1">
        <v>1.0526566103573978</v>
      </c>
      <c r="L641" s="1">
        <f t="shared" si="68"/>
        <v>1.0627905786102338</v>
      </c>
      <c r="M641" s="1"/>
      <c r="N641" s="1"/>
      <c r="R641" s="7">
        <f t="shared" si="69"/>
        <v>2.2637335551244235</v>
      </c>
      <c r="S641" s="7">
        <f t="shared" si="73"/>
        <v>0.93608072060448388</v>
      </c>
      <c r="T641" s="7">
        <f t="shared" si="70"/>
        <v>0.8774179768560878</v>
      </c>
      <c r="V641" s="7">
        <f t="shared" si="71"/>
        <v>1.3590774175283318</v>
      </c>
      <c r="AF641" s="7">
        <f t="shared" si="72"/>
        <v>1.4957804236958925</v>
      </c>
    </row>
    <row r="642" spans="1:32" x14ac:dyDescent="0.35">
      <c r="A642" t="s">
        <v>37</v>
      </c>
      <c r="B642">
        <v>1962</v>
      </c>
      <c r="E642" s="7">
        <v>1962.74999999995</v>
      </c>
      <c r="F642" s="1">
        <v>1.0590737861448916</v>
      </c>
      <c r="G642" s="7">
        <v>1962.74999999995</v>
      </c>
      <c r="H642" s="1">
        <v>1.0561342015416317</v>
      </c>
      <c r="I642" s="7">
        <v>1962.74999999995</v>
      </c>
      <c r="J642" s="1">
        <v>1.0436316369490801</v>
      </c>
      <c r="L642" s="1">
        <f t="shared" si="68"/>
        <v>1.0529465415452013</v>
      </c>
      <c r="M642" s="1"/>
      <c r="N642" s="1"/>
      <c r="R642" s="7">
        <f t="shared" si="69"/>
        <v>1.9158015625311506</v>
      </c>
      <c r="S642" s="7">
        <f t="shared" si="73"/>
        <v>0.67818027051416541</v>
      </c>
      <c r="T642" s="7">
        <f t="shared" si="70"/>
        <v>0.59538371267237467</v>
      </c>
      <c r="V642" s="7">
        <f t="shared" si="71"/>
        <v>1.0631218485725638</v>
      </c>
      <c r="AF642" s="7">
        <f t="shared" si="72"/>
        <v>1.1653619614466848</v>
      </c>
    </row>
    <row r="643" spans="1:32" x14ac:dyDescent="0.35">
      <c r="A643" t="s">
        <v>39</v>
      </c>
      <c r="B643">
        <v>1962</v>
      </c>
      <c r="E643" s="7">
        <v>1962.6666666666199</v>
      </c>
      <c r="F643" s="1">
        <v>1.0221607775951347</v>
      </c>
      <c r="G643" s="7">
        <v>1962.6666666666199</v>
      </c>
      <c r="H643" s="1">
        <v>1.0247716341188418</v>
      </c>
      <c r="I643" s="7">
        <v>1962.6666666666199</v>
      </c>
      <c r="J643" s="1">
        <v>1.0284106758905087</v>
      </c>
      <c r="L643" s="1">
        <f t="shared" si="68"/>
        <v>1.0251143625348285</v>
      </c>
      <c r="M643" s="1"/>
      <c r="N643" s="1"/>
      <c r="R643" s="7">
        <f t="shared" si="69"/>
        <v>0.77888318183172112</v>
      </c>
      <c r="S643" s="7">
        <f t="shared" si="73"/>
        <v>-0.19998196375180438</v>
      </c>
      <c r="T643" s="7">
        <f t="shared" si="70"/>
        <v>0.11972219456011603</v>
      </c>
      <c r="V643" s="7">
        <f t="shared" si="71"/>
        <v>0.2328744708800109</v>
      </c>
      <c r="AF643" s="7">
        <f t="shared" si="72"/>
        <v>0.23116537838844764</v>
      </c>
    </row>
    <row r="644" spans="1:32" x14ac:dyDescent="0.35">
      <c r="A644" t="s">
        <v>41</v>
      </c>
      <c r="B644">
        <v>1962</v>
      </c>
      <c r="E644" s="7">
        <v>1962.5833333332801</v>
      </c>
      <c r="F644" s="1">
        <v>1.0049027691698833</v>
      </c>
      <c r="G644" s="7">
        <v>1962.5833333332801</v>
      </c>
      <c r="H644" s="1">
        <v>1.0029040571427463</v>
      </c>
      <c r="I644" s="7">
        <v>1962.5833333332801</v>
      </c>
      <c r="J644" s="1">
        <v>1.0110201262029028</v>
      </c>
      <c r="L644" s="1">
        <f t="shared" si="68"/>
        <v>1.0062756508385107</v>
      </c>
      <c r="M644" s="1"/>
      <c r="N644" s="1"/>
      <c r="R644" s="7">
        <f t="shared" si="69"/>
        <v>0.24733758953772358</v>
      </c>
      <c r="S644" s="7">
        <f t="shared" si="73"/>
        <v>-0.81228133313814965</v>
      </c>
      <c r="T644" s="7">
        <f t="shared" si="70"/>
        <v>-0.42373989258286709</v>
      </c>
      <c r="V644" s="7">
        <f t="shared" si="71"/>
        <v>-0.32956121206109773</v>
      </c>
      <c r="AF644" s="7">
        <f t="shared" si="72"/>
        <v>-0.4011624062726204</v>
      </c>
    </row>
    <row r="645" spans="1:32" x14ac:dyDescent="0.35">
      <c r="A645" t="s">
        <v>43</v>
      </c>
      <c r="B645">
        <v>1962</v>
      </c>
      <c r="E645" s="7">
        <v>1962.49999999995</v>
      </c>
      <c r="F645" s="1">
        <v>0.99842110199923428</v>
      </c>
      <c r="G645" s="7">
        <v>1962.49999999995</v>
      </c>
      <c r="H645" s="1">
        <v>0.98337063765777877</v>
      </c>
      <c r="I645" s="7">
        <v>1962.49999999995</v>
      </c>
      <c r="J645" s="1">
        <v>1.009684611399573</v>
      </c>
      <c r="L645" s="1">
        <f t="shared" ref="L645:L708" si="74">AVERAGE(D645,F645,H645,J645)</f>
        <v>0.99715878368552868</v>
      </c>
      <c r="M645" s="1"/>
      <c r="N645" s="1"/>
      <c r="R645" s="7">
        <f t="shared" ref="R645:R708" si="75">STANDARDIZE(F645, AVERAGE($F$4:$F$747), _xlfn.STDEV.P($F$4:$F$747))</f>
        <v>4.7702641496202527E-2</v>
      </c>
      <c r="S645" s="7">
        <f t="shared" si="73"/>
        <v>-1.3592235227405463</v>
      </c>
      <c r="T645" s="7">
        <f t="shared" ref="T645:T708" si="76">STANDARDIZE(J645,AVERAGE($J$4:$J$795),_xlfn.STDEV.P($J$4:$J$795))</f>
        <v>-0.46547529919541669</v>
      </c>
      <c r="V645" s="7">
        <f t="shared" ref="V645:V708" si="77">AVERAGE(Q645,R645,S645,T645)</f>
        <v>-0.59233206014658679</v>
      </c>
      <c r="AF645" s="7">
        <f t="shared" ref="AF645:AF708" si="78">STANDARDIZE(L645,L$1,L$2)</f>
        <v>-0.70717316235957495</v>
      </c>
    </row>
    <row r="646" spans="1:32" x14ac:dyDescent="0.35">
      <c r="A646" t="s">
        <v>44</v>
      </c>
      <c r="B646">
        <v>1962</v>
      </c>
      <c r="E646" s="7">
        <v>1962.4166666666099</v>
      </c>
      <c r="F646" s="1">
        <v>0.98978189133296823</v>
      </c>
      <c r="G646" s="7">
        <v>1962.4166666666199</v>
      </c>
      <c r="H646" s="1">
        <v>0.99305873224885433</v>
      </c>
      <c r="I646" s="7">
        <v>1962.4166666666099</v>
      </c>
      <c r="J646" s="1">
        <v>1.0062080489271445</v>
      </c>
      <c r="L646" s="1">
        <f t="shared" si="74"/>
        <v>0.99634955750298904</v>
      </c>
      <c r="M646" s="1"/>
      <c r="N646" s="1"/>
      <c r="R646" s="7">
        <f t="shared" si="75"/>
        <v>-0.21838451279177085</v>
      </c>
      <c r="S646" s="7">
        <f t="shared" si="73"/>
        <v>-1.0879536781137082</v>
      </c>
      <c r="T646" s="7">
        <f t="shared" si="76"/>
        <v>-0.57411935768055355</v>
      </c>
      <c r="V646" s="7">
        <f t="shared" si="77"/>
        <v>-0.62681918286201099</v>
      </c>
      <c r="AF646" s="7">
        <f t="shared" si="78"/>
        <v>-0.73433511523319117</v>
      </c>
    </row>
    <row r="647" spans="1:32" x14ac:dyDescent="0.35">
      <c r="A647" t="s">
        <v>42</v>
      </c>
      <c r="B647">
        <v>1962</v>
      </c>
      <c r="E647" s="7">
        <v>1962.3333333332801</v>
      </c>
      <c r="F647" s="1">
        <v>0.99447576062281773</v>
      </c>
      <c r="G647" s="7">
        <v>1962.3333333332801</v>
      </c>
      <c r="H647" s="1">
        <v>0.99841052236872774</v>
      </c>
      <c r="I647" s="7">
        <v>1962.3333333332801</v>
      </c>
      <c r="J647" s="1">
        <v>1.0004301701687845</v>
      </c>
      <c r="L647" s="1">
        <f t="shared" si="74"/>
        <v>0.9977721510534433</v>
      </c>
      <c r="M647" s="1"/>
      <c r="N647" s="1"/>
      <c r="R647" s="7">
        <f t="shared" si="75"/>
        <v>-7.3813628924716948E-2</v>
      </c>
      <c r="S647" s="7">
        <f t="shared" si="73"/>
        <v>-0.93810178921587972</v>
      </c>
      <c r="T647" s="7">
        <f t="shared" si="76"/>
        <v>-0.75468053059824047</v>
      </c>
      <c r="V647" s="7">
        <f t="shared" si="77"/>
        <v>-0.58886531624627902</v>
      </c>
      <c r="AF647" s="7">
        <f t="shared" si="78"/>
        <v>-0.68658527741345887</v>
      </c>
    </row>
    <row r="648" spans="1:32" x14ac:dyDescent="0.35">
      <c r="A648" t="s">
        <v>40</v>
      </c>
      <c r="B648">
        <v>1962</v>
      </c>
      <c r="E648" s="7">
        <v>1962.24999999995</v>
      </c>
      <c r="F648" s="1">
        <v>0.98624751249973575</v>
      </c>
      <c r="G648" s="7">
        <v>1962.24999999995</v>
      </c>
      <c r="H648" s="1">
        <v>0.98835034471593031</v>
      </c>
      <c r="I648" s="7">
        <v>1962.24999999995</v>
      </c>
      <c r="J648" s="1">
        <v>0.99364062051084789</v>
      </c>
      <c r="L648" s="1">
        <f t="shared" si="74"/>
        <v>0.98941282590883795</v>
      </c>
      <c r="M648" s="1"/>
      <c r="N648" s="1"/>
      <c r="R648" s="7">
        <f t="shared" si="75"/>
        <v>-0.3272431622957947</v>
      </c>
      <c r="S648" s="7">
        <f t="shared" si="73"/>
        <v>-1.219790082320146</v>
      </c>
      <c r="T648" s="7">
        <f t="shared" si="76"/>
        <v>-0.96685685015948575</v>
      </c>
      <c r="V648" s="7">
        <f t="shared" si="77"/>
        <v>-0.83796336492514223</v>
      </c>
      <c r="AF648" s="7">
        <f t="shared" si="78"/>
        <v>-0.96716887756394243</v>
      </c>
    </row>
    <row r="649" spans="1:32" x14ac:dyDescent="0.35">
      <c r="A649" t="s">
        <v>38</v>
      </c>
      <c r="B649">
        <v>1962</v>
      </c>
      <c r="E649" s="7">
        <v>1962.1666666666099</v>
      </c>
      <c r="F649" s="1">
        <v>0.99977637426481358</v>
      </c>
      <c r="G649" s="7">
        <v>1962.1666666666199</v>
      </c>
      <c r="H649" s="1">
        <v>0.98706423533331833</v>
      </c>
      <c r="I649" s="7">
        <v>1962.1666666666099</v>
      </c>
      <c r="J649" s="1">
        <v>0.9968725054482116</v>
      </c>
      <c r="L649" s="1">
        <f t="shared" si="74"/>
        <v>0.99457103834878113</v>
      </c>
      <c r="M649" s="1"/>
      <c r="N649" s="1"/>
      <c r="R649" s="7">
        <f t="shared" si="75"/>
        <v>8.9444943468481419E-2</v>
      </c>
      <c r="S649" s="7">
        <f t="shared" si="73"/>
        <v>-1.255801569317357</v>
      </c>
      <c r="T649" s="7">
        <f t="shared" si="76"/>
        <v>-0.8658590688922595</v>
      </c>
      <c r="V649" s="7">
        <f t="shared" si="77"/>
        <v>-0.67740523158037835</v>
      </c>
      <c r="AF649" s="7">
        <f t="shared" si="78"/>
        <v>-0.79403171736216671</v>
      </c>
    </row>
    <row r="650" spans="1:32" x14ac:dyDescent="0.35">
      <c r="A650" t="s">
        <v>36</v>
      </c>
      <c r="B650">
        <v>1962</v>
      </c>
      <c r="E650" s="7">
        <v>1962.0833333332801</v>
      </c>
      <c r="F650" s="1">
        <v>1.016689530369606</v>
      </c>
      <c r="G650" s="7">
        <v>1962.0833333332801</v>
      </c>
      <c r="H650" s="1">
        <v>1.0124692888316793</v>
      </c>
      <c r="I650" s="7">
        <v>1962.0833333332801</v>
      </c>
      <c r="J650" s="1">
        <v>1.0027829335376091</v>
      </c>
      <c r="L650" s="1">
        <f t="shared" si="74"/>
        <v>1.0106472509129647</v>
      </c>
      <c r="M650" s="1"/>
      <c r="N650" s="1"/>
      <c r="R650" s="7">
        <f t="shared" si="75"/>
        <v>0.61036910561737989</v>
      </c>
      <c r="S650" s="7">
        <f t="shared" si="73"/>
        <v>-0.54445169030344964</v>
      </c>
      <c r="T650" s="7">
        <f t="shared" si="76"/>
        <v>-0.68115567290577794</v>
      </c>
      <c r="V650" s="7">
        <f t="shared" si="77"/>
        <v>-0.20507941919728256</v>
      </c>
      <c r="AF650" s="7">
        <f t="shared" si="78"/>
        <v>-0.25442815846076061</v>
      </c>
    </row>
    <row r="651" spans="1:32" x14ac:dyDescent="0.35">
      <c r="A651" t="s">
        <v>34</v>
      </c>
      <c r="B651">
        <v>1962</v>
      </c>
      <c r="E651" s="7">
        <v>1961.99999999995</v>
      </c>
      <c r="F651" s="1">
        <v>1.0414199444371415</v>
      </c>
      <c r="G651" s="7">
        <v>1961.99999999995</v>
      </c>
      <c r="H651" s="1">
        <v>1.0557834296376449</v>
      </c>
      <c r="I651" s="7">
        <v>1961.99999999995</v>
      </c>
      <c r="J651" s="1">
        <v>1.0400312716133047</v>
      </c>
      <c r="L651" s="1">
        <f t="shared" si="74"/>
        <v>1.0457448818960304</v>
      </c>
      <c r="M651" s="1"/>
      <c r="N651" s="1"/>
      <c r="R651" s="7">
        <f t="shared" si="75"/>
        <v>1.3720643296138009</v>
      </c>
      <c r="S651" s="7">
        <f t="shared" si="73"/>
        <v>0.66835854148381368</v>
      </c>
      <c r="T651" s="7">
        <f t="shared" si="76"/>
        <v>0.48287076196028333</v>
      </c>
      <c r="V651" s="7">
        <f t="shared" si="77"/>
        <v>0.841097877685966</v>
      </c>
      <c r="AF651" s="7">
        <f t="shared" si="78"/>
        <v>0.92363579857253797</v>
      </c>
    </row>
    <row r="652" spans="1:32" x14ac:dyDescent="0.35">
      <c r="A652" t="s">
        <v>33</v>
      </c>
      <c r="B652">
        <v>1961</v>
      </c>
      <c r="E652" s="7">
        <v>1961.9166666666099</v>
      </c>
      <c r="F652" s="1">
        <v>1.0516808028539515</v>
      </c>
      <c r="G652" s="7">
        <v>1961.9166666666199</v>
      </c>
      <c r="H652" s="1">
        <v>1.0888817906553865</v>
      </c>
      <c r="I652" s="7">
        <v>1961.9166666666099</v>
      </c>
      <c r="J652" s="1">
        <v>1.0724799957483351</v>
      </c>
      <c r="L652" s="1">
        <f t="shared" si="74"/>
        <v>1.0710141964192241</v>
      </c>
      <c r="M652" s="1"/>
      <c r="N652" s="1"/>
      <c r="R652" s="7">
        <f t="shared" si="75"/>
        <v>1.6880981343387909</v>
      </c>
      <c r="S652" s="7">
        <f t="shared" si="73"/>
        <v>1.5951235690421328</v>
      </c>
      <c r="T652" s="7">
        <f t="shared" si="76"/>
        <v>1.4969072162604367</v>
      </c>
      <c r="V652" s="7">
        <f t="shared" si="77"/>
        <v>1.59337630654712</v>
      </c>
      <c r="AF652" s="7">
        <f t="shared" si="78"/>
        <v>1.771808960831716</v>
      </c>
    </row>
    <row r="653" spans="1:32" x14ac:dyDescent="0.35">
      <c r="A653" t="s">
        <v>35</v>
      </c>
      <c r="B653">
        <v>1961</v>
      </c>
      <c r="E653" s="7">
        <v>1961.8333333332801</v>
      </c>
      <c r="F653" s="1">
        <v>1.0311511772373476</v>
      </c>
      <c r="G653" s="7">
        <v>1961.8333333332801</v>
      </c>
      <c r="H653" s="1">
        <v>1.0784677194858696</v>
      </c>
      <c r="I653" s="7">
        <v>1961.8333333332801</v>
      </c>
      <c r="J653" s="1">
        <v>1.065008326588837</v>
      </c>
      <c r="L653" s="1">
        <f t="shared" si="74"/>
        <v>1.0582090744373513</v>
      </c>
      <c r="M653" s="1"/>
      <c r="N653" s="1"/>
      <c r="R653" s="7">
        <f t="shared" si="75"/>
        <v>1.0557869348619731</v>
      </c>
      <c r="S653" s="7">
        <f t="shared" si="73"/>
        <v>1.3035261407211896</v>
      </c>
      <c r="T653" s="7">
        <f t="shared" si="76"/>
        <v>1.2634143716520458</v>
      </c>
      <c r="V653" s="7">
        <f t="shared" si="77"/>
        <v>1.2075758157450693</v>
      </c>
      <c r="AF653" s="7">
        <f t="shared" si="78"/>
        <v>1.3420006732143093</v>
      </c>
    </row>
    <row r="654" spans="1:32" x14ac:dyDescent="0.35">
      <c r="A654" t="s">
        <v>37</v>
      </c>
      <c r="B654">
        <v>1961</v>
      </c>
      <c r="E654" s="7">
        <v>1961.74999999995</v>
      </c>
      <c r="F654" s="1">
        <v>1.006524547959774</v>
      </c>
      <c r="G654" s="7">
        <v>1961.74999999995</v>
      </c>
      <c r="H654" s="1">
        <v>1.0614716434747502</v>
      </c>
      <c r="I654" s="7">
        <v>1961.74999999995</v>
      </c>
      <c r="J654" s="1">
        <v>1.0543053318565125</v>
      </c>
      <c r="L654" s="1">
        <f t="shared" si="74"/>
        <v>1.0407671744303455</v>
      </c>
      <c r="M654" s="1"/>
      <c r="N654" s="1"/>
      <c r="R654" s="7">
        <f t="shared" si="75"/>
        <v>0.29728827597851565</v>
      </c>
      <c r="S654" s="7">
        <f t="shared" si="73"/>
        <v>0.82763040544942668</v>
      </c>
      <c r="T654" s="7">
        <f t="shared" si="76"/>
        <v>0.92894122615654007</v>
      </c>
      <c r="V654" s="7">
        <f t="shared" si="77"/>
        <v>0.68461996919482748</v>
      </c>
      <c r="AF654" s="7">
        <f t="shared" si="78"/>
        <v>0.75655734940859476</v>
      </c>
    </row>
    <row r="655" spans="1:32" x14ac:dyDescent="0.35">
      <c r="A655" t="s">
        <v>39</v>
      </c>
      <c r="B655">
        <v>1961</v>
      </c>
      <c r="E655" s="7">
        <v>1961.6666666666099</v>
      </c>
      <c r="F655" s="1">
        <v>1.0008725943763617</v>
      </c>
      <c r="G655" s="7">
        <v>1961.6666666666199</v>
      </c>
      <c r="H655" s="1">
        <v>1.0438506751341734</v>
      </c>
      <c r="I655" s="7">
        <v>1961.6666666666099</v>
      </c>
      <c r="J655" s="1">
        <v>1.0475418889488866</v>
      </c>
      <c r="L655" s="1">
        <f t="shared" si="74"/>
        <v>1.0307550528198073</v>
      </c>
      <c r="M655" s="1"/>
      <c r="N655" s="1"/>
      <c r="R655" s="7">
        <f t="shared" si="75"/>
        <v>0.12320845511591136</v>
      </c>
      <c r="S655" s="7">
        <f t="shared" si="73"/>
        <v>0.3342374788025339</v>
      </c>
      <c r="T655" s="7">
        <f t="shared" si="76"/>
        <v>0.71758075366552687</v>
      </c>
      <c r="V655" s="7">
        <f t="shared" si="77"/>
        <v>0.39167556252799068</v>
      </c>
      <c r="AF655" s="7">
        <f t="shared" si="78"/>
        <v>0.42049707204969872</v>
      </c>
    </row>
    <row r="656" spans="1:32" x14ac:dyDescent="0.35">
      <c r="A656" t="s">
        <v>41</v>
      </c>
      <c r="B656">
        <v>1961</v>
      </c>
      <c r="E656" s="7">
        <v>1961.5833333332801</v>
      </c>
      <c r="F656" s="1">
        <v>1.0211379192466954</v>
      </c>
      <c r="G656" s="7">
        <v>1961.5833333332801</v>
      </c>
      <c r="H656" s="1">
        <v>1.0337363877603467</v>
      </c>
      <c r="I656" s="7">
        <v>1961.5833333332801</v>
      </c>
      <c r="J656" s="1">
        <v>1.0352895715508157</v>
      </c>
      <c r="L656" s="1">
        <f t="shared" si="74"/>
        <v>1.0300546261859524</v>
      </c>
      <c r="M656" s="1"/>
      <c r="N656" s="1"/>
      <c r="R656" s="7">
        <f t="shared" si="75"/>
        <v>0.74737920795148438</v>
      </c>
      <c r="S656" s="7">
        <f t="shared" ref="S656:S719" si="79">STANDARDIZE(H656, AVERAGE($H$4:$H$891), _xlfn.STDEV.P($H$4:$H$891))</f>
        <v>5.1034095658794992E-2</v>
      </c>
      <c r="T656" s="7">
        <f t="shared" si="76"/>
        <v>0.33469061476212825</v>
      </c>
      <c r="V656" s="7">
        <f t="shared" si="77"/>
        <v>0.37770130612413588</v>
      </c>
      <c r="AF656" s="7">
        <f t="shared" si="78"/>
        <v>0.3969870131431969</v>
      </c>
    </row>
    <row r="657" spans="1:32" x14ac:dyDescent="0.35">
      <c r="A657" t="s">
        <v>43</v>
      </c>
      <c r="B657">
        <v>1961</v>
      </c>
      <c r="E657" s="7">
        <v>1961.49999999995</v>
      </c>
      <c r="F657" s="1">
        <v>1.0087430591454167</v>
      </c>
      <c r="G657" s="7">
        <v>1961.49999999995</v>
      </c>
      <c r="H657" s="1">
        <v>1.0281442954131697</v>
      </c>
      <c r="I657" s="7">
        <v>1961.49999999995</v>
      </c>
      <c r="J657" s="1">
        <v>1.011179439879923</v>
      </c>
      <c r="L657" s="1">
        <f t="shared" si="74"/>
        <v>1.0160222648128363</v>
      </c>
      <c r="M657" s="1"/>
      <c r="N657" s="1"/>
      <c r="R657" s="7">
        <f t="shared" si="75"/>
        <v>0.36561828330762963</v>
      </c>
      <c r="S657" s="7">
        <f t="shared" si="79"/>
        <v>-0.10554633487860328</v>
      </c>
      <c r="T657" s="7">
        <f t="shared" si="76"/>
        <v>-0.41876127229891469</v>
      </c>
      <c r="V657" s="7">
        <f t="shared" si="77"/>
        <v>-5.2896441289962771E-2</v>
      </c>
      <c r="AF657" s="7">
        <f t="shared" si="78"/>
        <v>-7.401398329757343E-2</v>
      </c>
    </row>
    <row r="658" spans="1:32" x14ac:dyDescent="0.35">
      <c r="A658" t="s">
        <v>44</v>
      </c>
      <c r="B658">
        <v>1961</v>
      </c>
      <c r="E658" s="7">
        <v>1961.4166666666099</v>
      </c>
      <c r="F658" s="1">
        <v>0.98950041874252037</v>
      </c>
      <c r="G658" s="7">
        <v>1961.4166666666099</v>
      </c>
      <c r="H658" s="1">
        <v>1.0166890170365572</v>
      </c>
      <c r="I658" s="7">
        <v>1961.4166666666099</v>
      </c>
      <c r="J658" s="1">
        <v>1.0044340789511623</v>
      </c>
      <c r="L658" s="1">
        <f t="shared" si="74"/>
        <v>1.0035411715767466</v>
      </c>
      <c r="M658" s="1"/>
      <c r="N658" s="1"/>
      <c r="R658" s="7">
        <f t="shared" si="75"/>
        <v>-0.2270538511718137</v>
      </c>
      <c r="S658" s="7">
        <f t="shared" si="79"/>
        <v>-0.42629790848971949</v>
      </c>
      <c r="T658" s="7">
        <f t="shared" si="76"/>
        <v>-0.62955667524639125</v>
      </c>
      <c r="V658" s="7">
        <f t="shared" si="77"/>
        <v>-0.42763614496930819</v>
      </c>
      <c r="AF658" s="7">
        <f t="shared" si="78"/>
        <v>-0.49294613552470468</v>
      </c>
    </row>
    <row r="659" spans="1:32" x14ac:dyDescent="0.35">
      <c r="A659" t="s">
        <v>42</v>
      </c>
      <c r="B659">
        <v>1961</v>
      </c>
      <c r="E659" s="7">
        <v>1961.3333333332801</v>
      </c>
      <c r="F659" s="1">
        <v>0.98930604641827213</v>
      </c>
      <c r="G659" s="7">
        <v>1961.3333333332801</v>
      </c>
      <c r="H659" s="1">
        <v>1.0146260018532525</v>
      </c>
      <c r="I659" s="7">
        <v>1961.3333333332801</v>
      </c>
      <c r="J659" s="1">
        <v>1.004095338988412</v>
      </c>
      <c r="L659" s="1">
        <f t="shared" si="74"/>
        <v>1.0026757957533121</v>
      </c>
      <c r="M659" s="1"/>
      <c r="N659" s="1"/>
      <c r="R659" s="7">
        <f t="shared" si="75"/>
        <v>-0.23304050673902962</v>
      </c>
      <c r="S659" s="7">
        <f t="shared" si="79"/>
        <v>-0.48406301420549269</v>
      </c>
      <c r="T659" s="7">
        <f t="shared" si="76"/>
        <v>-0.64014244340564885</v>
      </c>
      <c r="V659" s="7">
        <f t="shared" si="77"/>
        <v>-0.45241532145005703</v>
      </c>
      <c r="AF659" s="7">
        <f t="shared" si="78"/>
        <v>-0.52199277024965429</v>
      </c>
    </row>
    <row r="660" spans="1:32" x14ac:dyDescent="0.35">
      <c r="A660" t="s">
        <v>40</v>
      </c>
      <c r="B660">
        <v>1961</v>
      </c>
      <c r="E660" s="7">
        <v>1961.24999999995</v>
      </c>
      <c r="F660" s="1">
        <v>0.97991781516949561</v>
      </c>
      <c r="G660" s="7">
        <v>1961.24999999995</v>
      </c>
      <c r="H660" s="1">
        <v>1.0070365631299534</v>
      </c>
      <c r="I660" s="7">
        <v>1961.24999999995</v>
      </c>
      <c r="J660" s="1">
        <v>1.0006738322239452</v>
      </c>
      <c r="L660" s="1">
        <f t="shared" si="74"/>
        <v>0.99587607017446478</v>
      </c>
      <c r="M660" s="1"/>
      <c r="N660" s="1"/>
      <c r="R660" s="7">
        <f t="shared" si="75"/>
        <v>-0.52219744865025974</v>
      </c>
      <c r="S660" s="7">
        <f t="shared" si="79"/>
        <v>-0.69656980219358244</v>
      </c>
      <c r="T660" s="7">
        <f t="shared" si="76"/>
        <v>-0.7470659875599861</v>
      </c>
      <c r="V660" s="7">
        <f t="shared" si="77"/>
        <v>-0.65527774613460943</v>
      </c>
      <c r="AF660" s="7">
        <f t="shared" si="78"/>
        <v>-0.75022787893896792</v>
      </c>
    </row>
    <row r="661" spans="1:32" x14ac:dyDescent="0.35">
      <c r="A661" t="s">
        <v>38</v>
      </c>
      <c r="B661">
        <v>1961</v>
      </c>
      <c r="E661" s="7">
        <v>1961.1666666666099</v>
      </c>
      <c r="F661" s="1">
        <v>0.9828665537849709</v>
      </c>
      <c r="G661" s="7">
        <v>1961.1666666666099</v>
      </c>
      <c r="H661" s="1">
        <v>1.0137786045276602</v>
      </c>
      <c r="I661" s="7">
        <v>1961.1666666666099</v>
      </c>
      <c r="J661" s="1">
        <v>1.0026684856797812</v>
      </c>
      <c r="L661" s="1">
        <f t="shared" si="74"/>
        <v>0.99977121466413743</v>
      </c>
      <c r="M661" s="1"/>
      <c r="N661" s="1"/>
      <c r="R661" s="7">
        <f t="shared" si="75"/>
        <v>-0.43137648163823533</v>
      </c>
      <c r="S661" s="7">
        <f t="shared" si="79"/>
        <v>-0.50779041887620691</v>
      </c>
      <c r="T661" s="7">
        <f t="shared" si="76"/>
        <v>-0.68473221722447253</v>
      </c>
      <c r="V661" s="7">
        <f t="shared" si="77"/>
        <v>-0.54129970591297161</v>
      </c>
      <c r="AF661" s="7">
        <f t="shared" si="78"/>
        <v>-0.61948602536673592</v>
      </c>
    </row>
    <row r="662" spans="1:32" x14ac:dyDescent="0.35">
      <c r="A662" t="s">
        <v>36</v>
      </c>
      <c r="B662">
        <v>1961</v>
      </c>
      <c r="E662" s="7">
        <v>1961.0833333332801</v>
      </c>
      <c r="F662" s="1">
        <v>1.0011316432110904</v>
      </c>
      <c r="G662" s="7">
        <v>1961.0833333332801</v>
      </c>
      <c r="H662" s="1">
        <v>1.0243116733877291</v>
      </c>
      <c r="I662" s="7">
        <v>1961.0833333332801</v>
      </c>
      <c r="J662" s="1">
        <v>1.0164629483422574</v>
      </c>
      <c r="L662" s="1">
        <f t="shared" si="74"/>
        <v>1.0139687549803589</v>
      </c>
      <c r="M662" s="1"/>
      <c r="N662" s="1"/>
      <c r="R662" s="7">
        <f t="shared" si="75"/>
        <v>0.13118714320644859</v>
      </c>
      <c r="S662" s="7">
        <f t="shared" si="79"/>
        <v>-0.21286101596278445</v>
      </c>
      <c r="T662" s="7">
        <f t="shared" si="76"/>
        <v>-0.25364938176308688</v>
      </c>
      <c r="V662" s="7">
        <f t="shared" si="77"/>
        <v>-0.11177441817314092</v>
      </c>
      <c r="AF662" s="7">
        <f t="shared" si="78"/>
        <v>-0.14294074135205209</v>
      </c>
    </row>
    <row r="663" spans="1:32" x14ac:dyDescent="0.35">
      <c r="A663" t="s">
        <v>34</v>
      </c>
      <c r="B663">
        <v>1961</v>
      </c>
      <c r="E663" s="7">
        <v>1960.99999999995</v>
      </c>
      <c r="F663" s="1">
        <v>1.0356972938652478</v>
      </c>
      <c r="G663" s="7">
        <v>1960.99999999995</v>
      </c>
      <c r="H663" s="1">
        <v>1.0565719524509904</v>
      </c>
      <c r="I663" s="7">
        <v>1960.99999999995</v>
      </c>
      <c r="J663" s="1">
        <v>1.0435672161203922</v>
      </c>
      <c r="L663" s="1">
        <f t="shared" si="74"/>
        <v>1.0452788208122101</v>
      </c>
      <c r="M663" s="1"/>
      <c r="N663" s="1"/>
      <c r="R663" s="7">
        <f t="shared" si="75"/>
        <v>1.1958070458777426</v>
      </c>
      <c r="S663" s="7">
        <f t="shared" si="79"/>
        <v>0.69043744038907384</v>
      </c>
      <c r="T663" s="7">
        <f t="shared" si="76"/>
        <v>0.59337053432878317</v>
      </c>
      <c r="V663" s="7">
        <f t="shared" si="77"/>
        <v>0.82653834019853323</v>
      </c>
      <c r="AF663" s="7">
        <f t="shared" si="78"/>
        <v>0.90799229930361336</v>
      </c>
    </row>
    <row r="664" spans="1:32" x14ac:dyDescent="0.35">
      <c r="A664" t="s">
        <v>33</v>
      </c>
      <c r="B664">
        <v>1960</v>
      </c>
      <c r="E664" s="7">
        <v>1960.9166666666099</v>
      </c>
      <c r="F664" s="1">
        <v>1.0534850120079478</v>
      </c>
      <c r="G664" s="7">
        <v>1960.9166666666099</v>
      </c>
      <c r="H664" s="1">
        <v>1.061581036229192</v>
      </c>
      <c r="I664" s="7">
        <v>1960.9166666666099</v>
      </c>
      <c r="J664" s="1">
        <v>1.0581075032864589</v>
      </c>
      <c r="L664" s="1">
        <f t="shared" si="74"/>
        <v>1.0577245171745329</v>
      </c>
      <c r="M664" s="1"/>
      <c r="N664" s="1"/>
      <c r="R664" s="7">
        <f t="shared" si="75"/>
        <v>1.7436676647128744</v>
      </c>
      <c r="S664" s="7">
        <f t="shared" si="79"/>
        <v>0.83069343866217593</v>
      </c>
      <c r="T664" s="7">
        <f t="shared" si="76"/>
        <v>1.0477607032928327</v>
      </c>
      <c r="V664" s="7">
        <f t="shared" si="77"/>
        <v>1.207373935555961</v>
      </c>
      <c r="AF664" s="7">
        <f t="shared" si="78"/>
        <v>1.3257363433875871</v>
      </c>
    </row>
    <row r="665" spans="1:32" x14ac:dyDescent="0.35">
      <c r="A665" t="s">
        <v>35</v>
      </c>
      <c r="B665">
        <v>1960</v>
      </c>
      <c r="E665" s="7">
        <v>1960.8333333332801</v>
      </c>
      <c r="F665" s="1">
        <v>1.0406057636414792</v>
      </c>
      <c r="G665" s="7">
        <v>1960.8333333332801</v>
      </c>
      <c r="H665" s="1">
        <v>1.0555824868691923</v>
      </c>
      <c r="I665" s="7">
        <v>1960.8333333332801</v>
      </c>
      <c r="J665" s="1">
        <v>1.0450648297726279</v>
      </c>
      <c r="L665" s="1">
        <f t="shared" si="74"/>
        <v>1.0470843600944331</v>
      </c>
      <c r="M665" s="1"/>
      <c r="N665" s="1"/>
      <c r="R665" s="7">
        <f t="shared" si="75"/>
        <v>1.3469876114548562</v>
      </c>
      <c r="S665" s="7">
        <f t="shared" si="79"/>
        <v>0.66273207767665376</v>
      </c>
      <c r="T665" s="7">
        <f t="shared" si="76"/>
        <v>0.6401715990333644</v>
      </c>
      <c r="V665" s="7">
        <f t="shared" si="77"/>
        <v>0.8832970960549581</v>
      </c>
      <c r="AF665" s="7">
        <f t="shared" si="78"/>
        <v>0.96859584124696818</v>
      </c>
    </row>
    <row r="666" spans="1:32" x14ac:dyDescent="0.35">
      <c r="A666" t="s">
        <v>37</v>
      </c>
      <c r="B666">
        <v>1960</v>
      </c>
      <c r="E666" s="7">
        <v>1960.74999999994</v>
      </c>
      <c r="F666" s="1">
        <v>1.0536571007638744</v>
      </c>
      <c r="G666" s="7">
        <v>1960.74999999995</v>
      </c>
      <c r="H666" s="1">
        <v>1.0825527127801322</v>
      </c>
      <c r="I666" s="7">
        <v>1960.74999999994</v>
      </c>
      <c r="J666" s="1">
        <v>1.0454251685225169</v>
      </c>
      <c r="L666" s="1">
        <f t="shared" si="74"/>
        <v>1.0605449940221743</v>
      </c>
      <c r="M666" s="1"/>
      <c r="N666" s="1"/>
      <c r="R666" s="7">
        <f t="shared" si="75"/>
        <v>1.7489679877537612</v>
      </c>
      <c r="S666" s="7">
        <f t="shared" si="79"/>
        <v>1.4179073005890006</v>
      </c>
      <c r="T666" s="7">
        <f t="shared" si="76"/>
        <v>0.65143233849306681</v>
      </c>
      <c r="V666" s="7">
        <f t="shared" si="77"/>
        <v>1.2727692089452762</v>
      </c>
      <c r="AF666" s="7">
        <f t="shared" si="78"/>
        <v>1.4204066109465692</v>
      </c>
    </row>
    <row r="667" spans="1:32" x14ac:dyDescent="0.35">
      <c r="A667" t="s">
        <v>39</v>
      </c>
      <c r="B667">
        <v>1960</v>
      </c>
      <c r="E667" s="7">
        <v>1960.6666666666099</v>
      </c>
      <c r="F667" s="1">
        <v>1.0483189277702551</v>
      </c>
      <c r="G667" s="7">
        <v>1960.6666666666099</v>
      </c>
      <c r="H667" s="1">
        <v>1.0924434685804956</v>
      </c>
      <c r="I667" s="7">
        <v>1960.6666666666099</v>
      </c>
      <c r="J667" s="1">
        <v>1.0338214639097958</v>
      </c>
      <c r="L667" s="1">
        <f t="shared" si="74"/>
        <v>1.0581946200868488</v>
      </c>
      <c r="M667" s="1"/>
      <c r="N667" s="1"/>
      <c r="R667" s="7">
        <f t="shared" si="75"/>
        <v>1.5845525896531634</v>
      </c>
      <c r="S667" s="7">
        <f t="shared" si="79"/>
        <v>1.6948517259332927</v>
      </c>
      <c r="T667" s="7">
        <f t="shared" si="76"/>
        <v>0.28881162547935324</v>
      </c>
      <c r="V667" s="7">
        <f t="shared" si="77"/>
        <v>1.1894053136886031</v>
      </c>
      <c r="AF667" s="7">
        <f t="shared" si="78"/>
        <v>1.3415155080087844</v>
      </c>
    </row>
    <row r="668" spans="1:32" x14ac:dyDescent="0.35">
      <c r="A668" t="s">
        <v>41</v>
      </c>
      <c r="B668">
        <v>1960</v>
      </c>
      <c r="E668" s="7">
        <v>1960.5833333332801</v>
      </c>
      <c r="F668" s="1">
        <v>1.0275637959742447</v>
      </c>
      <c r="G668" s="7">
        <v>1960.5833333332801</v>
      </c>
      <c r="H668" s="1">
        <v>1.0829473546055182</v>
      </c>
      <c r="I668" s="7">
        <v>1960.5833333332801</v>
      </c>
      <c r="J668" s="1">
        <v>1.0274207596624618</v>
      </c>
      <c r="L668" s="1">
        <f t="shared" si="74"/>
        <v>1.0459773034140749</v>
      </c>
      <c r="M668" s="1"/>
      <c r="N668" s="1"/>
      <c r="R668" s="7">
        <f t="shared" si="75"/>
        <v>0.94529581379551486</v>
      </c>
      <c r="S668" s="7">
        <f t="shared" si="79"/>
        <v>1.4289574018910993</v>
      </c>
      <c r="T668" s="7">
        <f t="shared" si="76"/>
        <v>8.878689067064266E-2</v>
      </c>
      <c r="V668" s="7">
        <f t="shared" si="77"/>
        <v>0.82101336878575237</v>
      </c>
      <c r="AF668" s="7">
        <f t="shared" si="78"/>
        <v>0.93143710611318864</v>
      </c>
    </row>
    <row r="669" spans="1:32" x14ac:dyDescent="0.35">
      <c r="A669" t="s">
        <v>43</v>
      </c>
      <c r="B669">
        <v>1960</v>
      </c>
      <c r="E669" s="7">
        <v>1960.49999999994</v>
      </c>
      <c r="F669" s="1">
        <v>1.0120561610791556</v>
      </c>
      <c r="G669" s="7">
        <v>1960.49999999995</v>
      </c>
      <c r="H669" s="1">
        <v>1.0686875417152928</v>
      </c>
      <c r="I669" s="7">
        <v>1960.49999999994</v>
      </c>
      <c r="J669" s="1">
        <v>1.0205630528524212</v>
      </c>
      <c r="L669" s="1">
        <f t="shared" si="74"/>
        <v>1.0337689185489565</v>
      </c>
      <c r="M669" s="1"/>
      <c r="N669" s="1"/>
      <c r="R669" s="7">
        <f t="shared" si="75"/>
        <v>0.46766161799061073</v>
      </c>
      <c r="S669" s="7">
        <f t="shared" si="79"/>
        <v>1.0296779366903193</v>
      </c>
      <c r="T669" s="7">
        <f t="shared" si="76"/>
        <v>-0.12551936893283916</v>
      </c>
      <c r="V669" s="7">
        <f t="shared" si="77"/>
        <v>0.45727339524936367</v>
      </c>
      <c r="AF669" s="7">
        <f t="shared" si="78"/>
        <v>0.52165850338851583</v>
      </c>
    </row>
    <row r="670" spans="1:32" x14ac:dyDescent="0.35">
      <c r="A670" t="s">
        <v>44</v>
      </c>
      <c r="B670">
        <v>1960</v>
      </c>
      <c r="E670" s="7">
        <v>1960.4166666666099</v>
      </c>
      <c r="F670" s="1">
        <v>0.99208206796279119</v>
      </c>
      <c r="G670" s="7">
        <v>1960.4166666666099</v>
      </c>
      <c r="H670" s="1">
        <v>1.0359640266843304</v>
      </c>
      <c r="I670" s="7">
        <v>1960.4166666666099</v>
      </c>
      <c r="J670" s="1">
        <v>1.0091440662992213</v>
      </c>
      <c r="L670" s="1">
        <f t="shared" si="74"/>
        <v>1.0123967203154476</v>
      </c>
      <c r="M670" s="1"/>
      <c r="N670" s="1"/>
      <c r="R670" s="7">
        <f t="shared" si="75"/>
        <v>-0.14753921483194868</v>
      </c>
      <c r="S670" s="7">
        <f t="shared" si="79"/>
        <v>0.1134087204225141</v>
      </c>
      <c r="T670" s="7">
        <f t="shared" si="76"/>
        <v>-0.48236756388567142</v>
      </c>
      <c r="V670" s="7">
        <f t="shared" si="77"/>
        <v>-0.17216601943170198</v>
      </c>
      <c r="AF670" s="7">
        <f t="shared" si="78"/>
        <v>-0.19570662115836907</v>
      </c>
    </row>
    <row r="671" spans="1:32" x14ac:dyDescent="0.35">
      <c r="A671" t="s">
        <v>42</v>
      </c>
      <c r="B671">
        <v>1960</v>
      </c>
      <c r="E671" s="7">
        <v>1960.3333333332801</v>
      </c>
      <c r="F671" s="1">
        <v>0.99026244607312042</v>
      </c>
      <c r="G671" s="7">
        <v>1960.3333333332801</v>
      </c>
      <c r="H671" s="1">
        <v>1.0321839238032184</v>
      </c>
      <c r="I671" s="7">
        <v>1960.3333333332801</v>
      </c>
      <c r="J671" s="1">
        <v>1.0041869197144053</v>
      </c>
      <c r="L671" s="1">
        <f t="shared" si="74"/>
        <v>1.0088777631969148</v>
      </c>
      <c r="M671" s="1"/>
      <c r="N671" s="1"/>
      <c r="R671" s="7">
        <f t="shared" si="75"/>
        <v>-0.2035834565117117</v>
      </c>
      <c r="S671" s="7">
        <f t="shared" si="79"/>
        <v>7.5645927054595824E-3</v>
      </c>
      <c r="T671" s="7">
        <f t="shared" si="76"/>
        <v>-0.63728050669953717</v>
      </c>
      <c r="V671" s="7">
        <f t="shared" si="77"/>
        <v>-0.27776645683526308</v>
      </c>
      <c r="AF671" s="7">
        <f t="shared" si="78"/>
        <v>-0.31382161728700853</v>
      </c>
    </row>
    <row r="672" spans="1:32" x14ac:dyDescent="0.35">
      <c r="A672" t="s">
        <v>40</v>
      </c>
      <c r="B672">
        <v>1960</v>
      </c>
      <c r="E672" s="7">
        <v>1960.24999999994</v>
      </c>
      <c r="F672" s="1">
        <v>0.98600092817206397</v>
      </c>
      <c r="G672" s="7">
        <v>1960.24999999995</v>
      </c>
      <c r="H672" s="1">
        <v>0.99851053756792219</v>
      </c>
      <c r="I672" s="7">
        <v>1960.24999999994</v>
      </c>
      <c r="J672" s="1">
        <v>0.99960582035721457</v>
      </c>
      <c r="L672" s="1">
        <f t="shared" si="74"/>
        <v>0.99470576203240013</v>
      </c>
      <c r="M672" s="1"/>
      <c r="N672" s="1"/>
      <c r="R672" s="7">
        <f t="shared" si="75"/>
        <v>-0.3348379443397605</v>
      </c>
      <c r="S672" s="7">
        <f t="shared" si="79"/>
        <v>-0.93530133064368615</v>
      </c>
      <c r="T672" s="7">
        <f t="shared" si="76"/>
        <v>-0.78044181343169994</v>
      </c>
      <c r="V672" s="7">
        <f t="shared" si="77"/>
        <v>-0.68352702947171551</v>
      </c>
      <c r="AF672" s="7">
        <f t="shared" si="78"/>
        <v>-0.78950967096231484</v>
      </c>
    </row>
    <row r="673" spans="1:32" x14ac:dyDescent="0.35">
      <c r="A673" t="s">
        <v>38</v>
      </c>
      <c r="B673">
        <v>1960</v>
      </c>
      <c r="E673" s="7">
        <v>1960.1666666666099</v>
      </c>
      <c r="F673" s="1">
        <v>0.98663838217625033</v>
      </c>
      <c r="G673" s="7">
        <v>1960.1666666666099</v>
      </c>
      <c r="H673" s="1">
        <v>0.99804796713013422</v>
      </c>
      <c r="I673" s="7">
        <v>1960.1666666666099</v>
      </c>
      <c r="J673" s="1">
        <v>1.0126806265024457</v>
      </c>
      <c r="L673" s="1">
        <f t="shared" si="74"/>
        <v>0.9991223252696102</v>
      </c>
      <c r="M673" s="1"/>
      <c r="N673" s="1"/>
      <c r="R673" s="7">
        <f t="shared" si="75"/>
        <v>-0.31520440042981301</v>
      </c>
      <c r="S673" s="7">
        <f t="shared" si="79"/>
        <v>-0.94825345550251039</v>
      </c>
      <c r="T673" s="7">
        <f t="shared" si="76"/>
        <v>-0.37184855075056839</v>
      </c>
      <c r="V673" s="7">
        <f t="shared" si="77"/>
        <v>-0.54510213556096399</v>
      </c>
      <c r="AF673" s="7">
        <f t="shared" si="78"/>
        <v>-0.64126621925396787</v>
      </c>
    </row>
    <row r="674" spans="1:32" x14ac:dyDescent="0.35">
      <c r="A674" t="s">
        <v>36</v>
      </c>
      <c r="B674">
        <v>1960</v>
      </c>
      <c r="E674" s="7">
        <v>1960.0833333332801</v>
      </c>
      <c r="F674" s="1">
        <v>0.98694194181085937</v>
      </c>
      <c r="G674" s="7">
        <v>1960.0833333332801</v>
      </c>
      <c r="H674" s="1">
        <v>1.0231031907432717</v>
      </c>
      <c r="I674" s="7">
        <v>1960.0833333332801</v>
      </c>
      <c r="J674" s="1">
        <v>1.0529044113543251</v>
      </c>
      <c r="L674" s="1">
        <f t="shared" si="74"/>
        <v>1.0209831813028187</v>
      </c>
      <c r="M674" s="1"/>
      <c r="N674" s="1"/>
      <c r="R674" s="7">
        <f t="shared" si="75"/>
        <v>-0.30585478245542835</v>
      </c>
      <c r="S674" s="7">
        <f t="shared" si="79"/>
        <v>-0.24669892868281201</v>
      </c>
      <c r="T674" s="7">
        <f t="shared" si="76"/>
        <v>0.88516186358798465</v>
      </c>
      <c r="V674" s="7">
        <f t="shared" si="77"/>
        <v>0.11086938414991476</v>
      </c>
      <c r="AF674" s="7">
        <f t="shared" si="78"/>
        <v>9.2500871038898619E-2</v>
      </c>
    </row>
    <row r="675" spans="1:32" x14ac:dyDescent="0.35">
      <c r="A675" t="s">
        <v>34</v>
      </c>
      <c r="B675">
        <v>1960</v>
      </c>
      <c r="E675" s="7">
        <v>1959.99999999994</v>
      </c>
      <c r="F675" s="1">
        <v>1.0289738022146964</v>
      </c>
      <c r="G675" s="7">
        <v>1959.99999999995</v>
      </c>
      <c r="H675" s="1">
        <v>1.0556087655209314</v>
      </c>
      <c r="I675" s="7">
        <v>1959.99999999994</v>
      </c>
      <c r="J675" s="1">
        <v>1.0546928667079987</v>
      </c>
      <c r="L675" s="1">
        <f t="shared" si="74"/>
        <v>1.0464251448145421</v>
      </c>
      <c r="M675" s="1"/>
      <c r="N675" s="1"/>
      <c r="R675" s="7">
        <f t="shared" si="75"/>
        <v>0.98872391880921218</v>
      </c>
      <c r="S675" s="7">
        <f t="shared" si="79"/>
        <v>0.66346788859460615</v>
      </c>
      <c r="T675" s="7">
        <f t="shared" si="76"/>
        <v>0.94105185537830627</v>
      </c>
      <c r="V675" s="7">
        <f t="shared" si="77"/>
        <v>0.86441455426070812</v>
      </c>
      <c r="AF675" s="7">
        <f t="shared" si="78"/>
        <v>0.94646905549496418</v>
      </c>
    </row>
    <row r="676" spans="1:32" x14ac:dyDescent="0.35">
      <c r="A676" t="s">
        <v>33</v>
      </c>
      <c r="B676">
        <v>1959</v>
      </c>
      <c r="E676" s="7">
        <v>1959.9166666666099</v>
      </c>
      <c r="F676" s="1">
        <v>1.0404566406451572</v>
      </c>
      <c r="G676" s="7">
        <v>1959.9166666666099</v>
      </c>
      <c r="H676" s="1">
        <v>1.0551811908601973</v>
      </c>
      <c r="I676" s="7">
        <v>1959.9166666666099</v>
      </c>
      <c r="J676" s="1">
        <v>1.0617384503723801</v>
      </c>
      <c r="L676" s="1">
        <f t="shared" si="74"/>
        <v>1.0524587606259115</v>
      </c>
      <c r="M676" s="1"/>
      <c r="N676" s="1"/>
      <c r="R676" s="7">
        <f t="shared" si="75"/>
        <v>1.3423946323896334</v>
      </c>
      <c r="S676" s="7">
        <f t="shared" si="79"/>
        <v>0.65149565703830525</v>
      </c>
      <c r="T676" s="7">
        <f t="shared" si="76"/>
        <v>1.1612293467266193</v>
      </c>
      <c r="V676" s="7">
        <f t="shared" si="77"/>
        <v>1.0517065453848526</v>
      </c>
      <c r="AF676" s="7">
        <f t="shared" si="78"/>
        <v>1.1489894284907956</v>
      </c>
    </row>
    <row r="677" spans="1:32" x14ac:dyDescent="0.35">
      <c r="A677" t="s">
        <v>35</v>
      </c>
      <c r="B677">
        <v>1959</v>
      </c>
      <c r="E677" s="7">
        <v>1959.8333333332801</v>
      </c>
      <c r="F677" s="1">
        <v>1.0303421929220948</v>
      </c>
      <c r="G677" s="7">
        <v>1959.8333333332801</v>
      </c>
      <c r="H677" s="1">
        <v>1.0633197092399274</v>
      </c>
      <c r="I677" s="7">
        <v>1959.8333333332801</v>
      </c>
      <c r="J677" s="1">
        <v>1.0511511472074342</v>
      </c>
      <c r="L677" s="1">
        <f t="shared" si="74"/>
        <v>1.0482710164564855</v>
      </c>
      <c r="M677" s="1"/>
      <c r="N677" s="1"/>
      <c r="R677" s="7">
        <f t="shared" si="75"/>
        <v>1.0308702679783011</v>
      </c>
      <c r="S677" s="7">
        <f t="shared" si="79"/>
        <v>0.87937685654638365</v>
      </c>
      <c r="T677" s="7">
        <f t="shared" si="76"/>
        <v>0.83037161200316112</v>
      </c>
      <c r="V677" s="7">
        <f t="shared" si="77"/>
        <v>0.91353957884261527</v>
      </c>
      <c r="AF677" s="7">
        <f t="shared" si="78"/>
        <v>1.0084263668511801</v>
      </c>
    </row>
    <row r="678" spans="1:32" x14ac:dyDescent="0.35">
      <c r="A678" t="s">
        <v>37</v>
      </c>
      <c r="B678">
        <v>1959</v>
      </c>
      <c r="E678" s="7">
        <v>1959.74999999994</v>
      </c>
      <c r="F678" s="1">
        <v>1.0369721295006167</v>
      </c>
      <c r="G678" s="7">
        <v>1959.74999999994</v>
      </c>
      <c r="H678" s="1">
        <v>1.067729514515954</v>
      </c>
      <c r="I678" s="7">
        <v>1959.74999999994</v>
      </c>
      <c r="J678" s="1">
        <v>1.0239105822842367</v>
      </c>
      <c r="L678" s="1">
        <f t="shared" si="74"/>
        <v>1.0428707421002692</v>
      </c>
      <c r="M678" s="1"/>
      <c r="N678" s="1"/>
      <c r="R678" s="7">
        <f t="shared" si="75"/>
        <v>1.2350719046135956</v>
      </c>
      <c r="S678" s="7">
        <f t="shared" si="79"/>
        <v>1.0028528590581995</v>
      </c>
      <c r="T678" s="7">
        <f t="shared" si="76"/>
        <v>-2.090764794258327E-2</v>
      </c>
      <c r="V678" s="7">
        <f t="shared" si="77"/>
        <v>0.73900570524307063</v>
      </c>
      <c r="AF678" s="7">
        <f t="shared" si="78"/>
        <v>0.82716431585351824</v>
      </c>
    </row>
    <row r="679" spans="1:32" x14ac:dyDescent="0.35">
      <c r="A679" t="s">
        <v>39</v>
      </c>
      <c r="B679">
        <v>1959</v>
      </c>
      <c r="E679" s="7">
        <v>1959.6666666666099</v>
      </c>
      <c r="F679" s="1">
        <v>1.0151164636017276</v>
      </c>
      <c r="G679" s="7">
        <v>1959.6666666666099</v>
      </c>
      <c r="H679" s="1">
        <v>1.0590675204550186</v>
      </c>
      <c r="I679" s="7">
        <v>1959.6666666666099</v>
      </c>
      <c r="J679" s="1">
        <v>1.0084809440872149</v>
      </c>
      <c r="L679" s="1">
        <f t="shared" si="74"/>
        <v>1.027554976047987</v>
      </c>
      <c r="M679" s="1"/>
      <c r="N679" s="1"/>
      <c r="R679" s="7">
        <f t="shared" si="75"/>
        <v>0.56191874644230377</v>
      </c>
      <c r="S679" s="7">
        <f t="shared" si="79"/>
        <v>0.76031416778313143</v>
      </c>
      <c r="T679" s="7">
        <f t="shared" si="76"/>
        <v>-0.50309041554025113</v>
      </c>
      <c r="V679" s="7">
        <f t="shared" si="77"/>
        <v>0.27304749956172802</v>
      </c>
      <c r="AF679" s="7">
        <f t="shared" si="78"/>
        <v>0.31308540354022196</v>
      </c>
    </row>
    <row r="680" spans="1:32" x14ac:dyDescent="0.35">
      <c r="A680" t="s">
        <v>41</v>
      </c>
      <c r="B680">
        <v>1959</v>
      </c>
      <c r="E680" s="7">
        <v>1959.5833333332801</v>
      </c>
      <c r="F680" s="1">
        <v>0.98941808095422956</v>
      </c>
      <c r="G680" s="7">
        <v>1959.5833333332801</v>
      </c>
      <c r="H680" s="1">
        <v>1.0465685329833621</v>
      </c>
      <c r="I680" s="7">
        <v>1959.5833333332801</v>
      </c>
      <c r="J680" s="1">
        <v>1.003284776082408</v>
      </c>
      <c r="L680" s="1">
        <f t="shared" si="74"/>
        <v>1.01309046334</v>
      </c>
      <c r="M680" s="1"/>
      <c r="N680" s="1"/>
      <c r="R680" s="7">
        <f t="shared" si="75"/>
        <v>-0.22958984995955206</v>
      </c>
      <c r="S680" s="7">
        <f t="shared" si="79"/>
        <v>0.41033839519391563</v>
      </c>
      <c r="T680" s="7">
        <f t="shared" si="76"/>
        <v>-0.66547287956613255</v>
      </c>
      <c r="V680" s="7">
        <f t="shared" si="77"/>
        <v>-0.16157477811058965</v>
      </c>
      <c r="AF680" s="7">
        <f t="shared" si="78"/>
        <v>-0.17242089987812775</v>
      </c>
    </row>
    <row r="681" spans="1:32" x14ac:dyDescent="0.35">
      <c r="A681" t="s">
        <v>43</v>
      </c>
      <c r="B681">
        <v>1959</v>
      </c>
      <c r="E681" s="7">
        <v>1959.49999999994</v>
      </c>
      <c r="F681" s="1">
        <v>0.98851894908271476</v>
      </c>
      <c r="G681" s="7">
        <v>1959.49999999994</v>
      </c>
      <c r="H681" s="1">
        <v>1.0400520046720101</v>
      </c>
      <c r="I681" s="7">
        <v>1959.49999999994</v>
      </c>
      <c r="J681" s="1">
        <v>1.0016716558679135</v>
      </c>
      <c r="L681" s="1">
        <f t="shared" si="74"/>
        <v>1.0100808698742128</v>
      </c>
      <c r="M681" s="1"/>
      <c r="N681" s="1"/>
      <c r="R681" s="7">
        <f t="shared" si="75"/>
        <v>-0.25728305600153395</v>
      </c>
      <c r="S681" s="7">
        <f t="shared" si="79"/>
        <v>0.22787345269064604</v>
      </c>
      <c r="T681" s="7">
        <f t="shared" si="76"/>
        <v>-0.7158835735539415</v>
      </c>
      <c r="V681" s="7">
        <f t="shared" si="77"/>
        <v>-0.24843105895494313</v>
      </c>
      <c r="AF681" s="7">
        <f t="shared" si="78"/>
        <v>-0.27343893123977486</v>
      </c>
    </row>
    <row r="682" spans="1:32" x14ac:dyDescent="0.35">
      <c r="A682" t="s">
        <v>44</v>
      </c>
      <c r="B682">
        <v>1959</v>
      </c>
      <c r="E682" s="7">
        <v>1959.4166666666099</v>
      </c>
      <c r="F682" s="1">
        <v>0.99027269484073177</v>
      </c>
      <c r="G682" s="7">
        <v>1959.4166666666099</v>
      </c>
      <c r="H682" s="1">
        <v>1.0508830817938184</v>
      </c>
      <c r="I682" s="7">
        <v>1959.4166666666099</v>
      </c>
      <c r="J682" s="1">
        <v>1.0069494516409356</v>
      </c>
      <c r="L682" s="1">
        <f t="shared" si="74"/>
        <v>1.0160350760918286</v>
      </c>
      <c r="M682" s="1"/>
      <c r="N682" s="1"/>
      <c r="R682" s="7">
        <f t="shared" si="75"/>
        <v>-0.2032677951030471</v>
      </c>
      <c r="S682" s="7">
        <f t="shared" si="79"/>
        <v>0.53114718524490789</v>
      </c>
      <c r="T682" s="7">
        <f t="shared" si="76"/>
        <v>-0.5509502069930664</v>
      </c>
      <c r="V682" s="7">
        <f t="shared" si="77"/>
        <v>-7.4356938950401866E-2</v>
      </c>
      <c r="AF682" s="7">
        <f t="shared" si="78"/>
        <v>-7.3583968347799622E-2</v>
      </c>
    </row>
    <row r="683" spans="1:32" x14ac:dyDescent="0.35">
      <c r="A683" t="s">
        <v>42</v>
      </c>
      <c r="B683">
        <v>1959</v>
      </c>
      <c r="E683" s="7">
        <v>1959.3333333332801</v>
      </c>
      <c r="F683" s="1">
        <v>0.98824434253045412</v>
      </c>
      <c r="G683" s="7">
        <v>1959.3333333332801</v>
      </c>
      <c r="H683" s="1">
        <v>1.0288535324522052</v>
      </c>
      <c r="I683" s="7">
        <v>1959.3333333332801</v>
      </c>
      <c r="J683" s="1">
        <v>1.0063068852893267</v>
      </c>
      <c r="L683" s="1">
        <f t="shared" si="74"/>
        <v>1.0078015867573287</v>
      </c>
      <c r="M683" s="1"/>
      <c r="N683" s="1"/>
      <c r="R683" s="7">
        <f t="shared" si="75"/>
        <v>-0.26574092082999351</v>
      </c>
      <c r="S683" s="7">
        <f t="shared" si="79"/>
        <v>-8.5687463810188005E-2</v>
      </c>
      <c r="T683" s="7">
        <f t="shared" si="76"/>
        <v>-0.57103067925221207</v>
      </c>
      <c r="V683" s="7">
        <f t="shared" si="77"/>
        <v>-0.30748635463079782</v>
      </c>
      <c r="AF683" s="7">
        <f t="shared" si="78"/>
        <v>-0.34994384660489458</v>
      </c>
    </row>
    <row r="684" spans="1:32" x14ac:dyDescent="0.35">
      <c r="A684" t="s">
        <v>40</v>
      </c>
      <c r="B684">
        <v>1959</v>
      </c>
      <c r="E684" s="7">
        <v>1959.24999999994</v>
      </c>
      <c r="F684" s="1">
        <v>0.98456206474254415</v>
      </c>
      <c r="G684" s="7">
        <v>1959.24999999994</v>
      </c>
      <c r="H684" s="1">
        <v>1.0076157722752024</v>
      </c>
      <c r="I684" s="7">
        <v>1959.24999999994</v>
      </c>
      <c r="J684" s="1">
        <v>0.99951914594487401</v>
      </c>
      <c r="L684" s="1">
        <f t="shared" si="74"/>
        <v>0.99723232765420688</v>
      </c>
      <c r="M684" s="1"/>
      <c r="N684" s="1"/>
      <c r="R684" s="7">
        <f t="shared" si="75"/>
        <v>-0.37915484899228241</v>
      </c>
      <c r="S684" s="7">
        <f t="shared" si="79"/>
        <v>-0.68035175504704881</v>
      </c>
      <c r="T684" s="7">
        <f t="shared" si="76"/>
        <v>-0.7831504257457812</v>
      </c>
      <c r="V684" s="7">
        <f t="shared" si="77"/>
        <v>-0.61421900992837086</v>
      </c>
      <c r="AF684" s="7">
        <f t="shared" si="78"/>
        <v>-0.70470463396235117</v>
      </c>
    </row>
    <row r="685" spans="1:32" x14ac:dyDescent="0.35">
      <c r="A685" t="s">
        <v>38</v>
      </c>
      <c r="B685">
        <v>1959</v>
      </c>
      <c r="E685" s="7">
        <v>1959.1666666666099</v>
      </c>
      <c r="F685" s="1">
        <v>0.98283766521154403</v>
      </c>
      <c r="G685" s="7">
        <v>1959.1666666666099</v>
      </c>
      <c r="H685" s="1">
        <v>1.0184291261097069</v>
      </c>
      <c r="I685" s="7">
        <v>1959.1666666666099</v>
      </c>
      <c r="J685" s="1">
        <v>1.0072427180555161</v>
      </c>
      <c r="L685" s="1">
        <f t="shared" si="74"/>
        <v>1.002836503125589</v>
      </c>
      <c r="M685" s="1"/>
      <c r="N685" s="1"/>
      <c r="R685" s="7">
        <f t="shared" si="75"/>
        <v>-0.43226624791336615</v>
      </c>
      <c r="S685" s="7">
        <f t="shared" si="79"/>
        <v>-0.37757428038415775</v>
      </c>
      <c r="T685" s="7">
        <f t="shared" si="76"/>
        <v>-0.54178550658854474</v>
      </c>
      <c r="V685" s="7">
        <f t="shared" si="77"/>
        <v>-0.45054201162868956</v>
      </c>
      <c r="AF685" s="7">
        <f t="shared" si="78"/>
        <v>-0.51659857247601215</v>
      </c>
    </row>
    <row r="686" spans="1:32" x14ac:dyDescent="0.35">
      <c r="A686" t="s">
        <v>36</v>
      </c>
      <c r="B686">
        <v>1959</v>
      </c>
      <c r="E686" s="7">
        <v>1959.0833333332801</v>
      </c>
      <c r="F686" s="1">
        <v>1.0029488346947695</v>
      </c>
      <c r="G686" s="7">
        <v>1959.0833333332801</v>
      </c>
      <c r="H686" s="1">
        <v>1.0291062791370866</v>
      </c>
      <c r="I686" s="7">
        <v>1959.0833333332801</v>
      </c>
      <c r="J686" s="1">
        <v>1.0394330010458468</v>
      </c>
      <c r="L686" s="1">
        <f t="shared" si="74"/>
        <v>1.023829371625901</v>
      </c>
      <c r="M686" s="1"/>
      <c r="N686" s="1"/>
      <c r="R686" s="7">
        <f t="shared" si="75"/>
        <v>0.18715652853195969</v>
      </c>
      <c r="S686" s="7">
        <f t="shared" si="79"/>
        <v>-7.86104732530475E-2</v>
      </c>
      <c r="T686" s="7">
        <f t="shared" si="76"/>
        <v>0.46417455182849005</v>
      </c>
      <c r="V686" s="7">
        <f t="shared" si="77"/>
        <v>0.19090686903580076</v>
      </c>
      <c r="AF686" s="7">
        <f t="shared" si="78"/>
        <v>0.18803422017286195</v>
      </c>
    </row>
    <row r="687" spans="1:32" x14ac:dyDescent="0.35">
      <c r="A687" t="s">
        <v>34</v>
      </c>
      <c r="B687">
        <v>1959</v>
      </c>
      <c r="E687" s="7">
        <v>1958.99999999994</v>
      </c>
      <c r="F687" s="1">
        <v>1.0233592556597881</v>
      </c>
      <c r="G687" s="7">
        <v>1958.99999999994</v>
      </c>
      <c r="H687" s="1">
        <v>1.0844411825138691</v>
      </c>
      <c r="I687" s="7">
        <v>1958.99999999994</v>
      </c>
      <c r="J687" s="1">
        <v>1.0559729580197144</v>
      </c>
      <c r="L687" s="1">
        <f t="shared" si="74"/>
        <v>1.0545911320644572</v>
      </c>
      <c r="M687" s="1"/>
      <c r="N687" s="1"/>
      <c r="R687" s="7">
        <f t="shared" si="75"/>
        <v>0.81579623211135111</v>
      </c>
      <c r="S687" s="7">
        <f t="shared" si="79"/>
        <v>1.4707850761347927</v>
      </c>
      <c r="T687" s="7">
        <f t="shared" si="76"/>
        <v>0.98105525426422047</v>
      </c>
      <c r="V687" s="7">
        <f t="shared" si="77"/>
        <v>1.0892121875034546</v>
      </c>
      <c r="AF687" s="7">
        <f t="shared" si="78"/>
        <v>1.2205632032555371</v>
      </c>
    </row>
    <row r="688" spans="1:32" x14ac:dyDescent="0.35">
      <c r="A688" t="s">
        <v>33</v>
      </c>
      <c r="B688">
        <v>1958</v>
      </c>
      <c r="E688" s="7">
        <v>1958.9166666666099</v>
      </c>
      <c r="F688" s="1">
        <v>1.0336807075649286</v>
      </c>
      <c r="G688" s="7">
        <v>1958.9166666666099</v>
      </c>
      <c r="H688" s="1">
        <v>1.0841852804020109</v>
      </c>
      <c r="I688" s="7">
        <v>1958.9166666666099</v>
      </c>
      <c r="J688" s="1">
        <v>1.0634069830875263</v>
      </c>
      <c r="L688" s="1">
        <f t="shared" si="74"/>
        <v>1.0604243236848221</v>
      </c>
      <c r="M688" s="1"/>
      <c r="N688" s="1"/>
      <c r="R688" s="7">
        <f t="shared" si="75"/>
        <v>1.1336963125299278</v>
      </c>
      <c r="S688" s="7">
        <f t="shared" si="79"/>
        <v>1.4636197325813343</v>
      </c>
      <c r="T688" s="7">
        <f t="shared" si="76"/>
        <v>1.2133717049688071</v>
      </c>
      <c r="V688" s="7">
        <f t="shared" si="77"/>
        <v>1.2702292500266896</v>
      </c>
      <c r="AF688" s="7">
        <f t="shared" si="78"/>
        <v>1.4163562699082735</v>
      </c>
    </row>
    <row r="689" spans="1:32" x14ac:dyDescent="0.35">
      <c r="A689" t="s">
        <v>35</v>
      </c>
      <c r="B689">
        <v>1958</v>
      </c>
      <c r="E689" s="7">
        <v>1958.83333333327</v>
      </c>
      <c r="F689" s="1">
        <v>1.0476193942355256</v>
      </c>
      <c r="G689" s="7">
        <v>1958.8333333332801</v>
      </c>
      <c r="H689" s="1">
        <v>1.057609916084316</v>
      </c>
      <c r="I689" s="7">
        <v>1958.83333333327</v>
      </c>
      <c r="J689" s="1">
        <v>1.0529605134803497</v>
      </c>
      <c r="L689" s="1">
        <f t="shared" si="74"/>
        <v>1.0527299412667304</v>
      </c>
      <c r="M689" s="1"/>
      <c r="N689" s="1"/>
      <c r="R689" s="7">
        <f t="shared" si="75"/>
        <v>1.5630070000413716</v>
      </c>
      <c r="S689" s="7">
        <f t="shared" si="79"/>
        <v>0.71950076454363976</v>
      </c>
      <c r="T689" s="7">
        <f t="shared" si="76"/>
        <v>0.88691507892908494</v>
      </c>
      <c r="V689" s="7">
        <f t="shared" si="77"/>
        <v>1.0564742811713652</v>
      </c>
      <c r="AF689" s="7">
        <f t="shared" si="78"/>
        <v>1.1580916992095245</v>
      </c>
    </row>
    <row r="690" spans="1:32" x14ac:dyDescent="0.35">
      <c r="A690" t="s">
        <v>37</v>
      </c>
      <c r="B690">
        <v>1958</v>
      </c>
      <c r="E690" s="7">
        <v>1958.74999999994</v>
      </c>
      <c r="F690" s="1">
        <v>1.0427156260002441</v>
      </c>
      <c r="G690" s="7">
        <v>1958.74999999994</v>
      </c>
      <c r="H690" s="1">
        <v>1.013293583966983</v>
      </c>
      <c r="I690" s="7">
        <v>1958.74999999994</v>
      </c>
      <c r="J690" s="1">
        <v>1.0477737610502162</v>
      </c>
      <c r="L690" s="1">
        <f t="shared" si="74"/>
        <v>1.0345943236724811</v>
      </c>
      <c r="M690" s="1"/>
      <c r="N690" s="1"/>
      <c r="R690" s="7">
        <f t="shared" si="75"/>
        <v>1.4119712416347798</v>
      </c>
      <c r="S690" s="7">
        <f t="shared" si="79"/>
        <v>-0.52137115458216654</v>
      </c>
      <c r="T690" s="7">
        <f t="shared" si="76"/>
        <v>0.72482685562334315</v>
      </c>
      <c r="V690" s="7">
        <f t="shared" si="77"/>
        <v>0.53847564755865218</v>
      </c>
      <c r="AF690" s="7">
        <f t="shared" si="78"/>
        <v>0.54936350793552036</v>
      </c>
    </row>
    <row r="691" spans="1:32" x14ac:dyDescent="0.35">
      <c r="A691" t="s">
        <v>39</v>
      </c>
      <c r="B691">
        <v>1958</v>
      </c>
      <c r="E691" s="7">
        <v>1958.6666666666099</v>
      </c>
      <c r="F691" s="1">
        <v>1.0118158494138716</v>
      </c>
      <c r="G691" s="7">
        <v>1958.6666666666099</v>
      </c>
      <c r="H691" s="1">
        <v>1.0067871241705086</v>
      </c>
      <c r="I691" s="7">
        <v>1958.6666666666099</v>
      </c>
      <c r="J691" s="1">
        <v>1.0352365597887974</v>
      </c>
      <c r="L691" s="1">
        <f t="shared" si="74"/>
        <v>1.0179465111243926</v>
      </c>
      <c r="M691" s="1"/>
      <c r="N691" s="1"/>
      <c r="R691" s="7">
        <f t="shared" si="75"/>
        <v>0.46026003356029704</v>
      </c>
      <c r="S691" s="7">
        <f t="shared" si="79"/>
        <v>-0.70355417534728648</v>
      </c>
      <c r="T691" s="7">
        <f t="shared" si="76"/>
        <v>0.33303397461290163</v>
      </c>
      <c r="V691" s="7">
        <f t="shared" si="77"/>
        <v>2.9913277608637396E-2</v>
      </c>
      <c r="AF691" s="7">
        <f t="shared" si="78"/>
        <v>-9.4259994193312338E-3</v>
      </c>
    </row>
    <row r="692" spans="1:32" x14ac:dyDescent="0.35">
      <c r="A692" t="s">
        <v>41</v>
      </c>
      <c r="B692">
        <v>1958</v>
      </c>
      <c r="E692" s="7">
        <v>1958.58333333327</v>
      </c>
      <c r="F692" s="1">
        <v>0.98890174337455394</v>
      </c>
      <c r="G692" s="7">
        <v>1958.5833333332801</v>
      </c>
      <c r="H692" s="1">
        <v>1.0114140267216545</v>
      </c>
      <c r="I692" s="7">
        <v>1958.58333333327</v>
      </c>
      <c r="J692" s="1">
        <v>1.0255197600739203</v>
      </c>
      <c r="L692" s="1">
        <f t="shared" si="74"/>
        <v>1.0086118433900431</v>
      </c>
      <c r="M692" s="1"/>
      <c r="N692" s="1"/>
      <c r="R692" s="7">
        <f t="shared" si="75"/>
        <v>-0.2454930154841875</v>
      </c>
      <c r="S692" s="7">
        <f t="shared" si="79"/>
        <v>-0.57399937751231733</v>
      </c>
      <c r="T692" s="7">
        <f t="shared" si="76"/>
        <v>2.9379843590180494E-2</v>
      </c>
      <c r="V692" s="7">
        <f t="shared" si="77"/>
        <v>-0.26337084980210806</v>
      </c>
      <c r="AF692" s="7">
        <f t="shared" si="78"/>
        <v>-0.32274730631963877</v>
      </c>
    </row>
    <row r="693" spans="1:32" x14ac:dyDescent="0.35">
      <c r="A693" t="s">
        <v>43</v>
      </c>
      <c r="B693">
        <v>1958</v>
      </c>
      <c r="E693" s="7">
        <v>1958.49999999994</v>
      </c>
      <c r="F693" s="1">
        <v>1.0047130946716734</v>
      </c>
      <c r="G693" s="7">
        <v>1958.49999999994</v>
      </c>
      <c r="H693" s="1">
        <v>1.0236927551349908</v>
      </c>
      <c r="I693" s="7">
        <v>1958.49999999994</v>
      </c>
      <c r="J693" s="1">
        <v>1.0226476555860269</v>
      </c>
      <c r="L693" s="1">
        <f t="shared" si="74"/>
        <v>1.0170178351308972</v>
      </c>
      <c r="M693" s="1"/>
      <c r="N693" s="1"/>
      <c r="R693" s="7">
        <f t="shared" si="75"/>
        <v>0.24149562672198205</v>
      </c>
      <c r="S693" s="7">
        <f t="shared" si="79"/>
        <v>-0.23019093121894765</v>
      </c>
      <c r="T693" s="7">
        <f t="shared" si="76"/>
        <v>-6.0374645343295896E-2</v>
      </c>
      <c r="V693" s="7">
        <f t="shared" si="77"/>
        <v>-1.6356649946753832E-2</v>
      </c>
      <c r="AF693" s="7">
        <f t="shared" si="78"/>
        <v>-4.0597325946381858E-2</v>
      </c>
    </row>
    <row r="694" spans="1:32" x14ac:dyDescent="0.35">
      <c r="A694" t="s">
        <v>44</v>
      </c>
      <c r="B694">
        <v>1958</v>
      </c>
      <c r="E694" s="7">
        <v>1958.4166666666099</v>
      </c>
      <c r="F694" s="1">
        <v>0.99463226541330141</v>
      </c>
      <c r="G694" s="7">
        <v>1958.4166666666099</v>
      </c>
      <c r="H694" s="1">
        <v>1.0154765689904048</v>
      </c>
      <c r="I694" s="7">
        <v>1958.4166666666099</v>
      </c>
      <c r="J694" s="1">
        <v>1.0104521869531045</v>
      </c>
      <c r="L694" s="1">
        <f t="shared" si="74"/>
        <v>1.0068536737856035</v>
      </c>
      <c r="M694" s="1"/>
      <c r="N694" s="1"/>
      <c r="R694" s="7">
        <f t="shared" si="75"/>
        <v>-6.8993291055790218E-2</v>
      </c>
      <c r="S694" s="7">
        <f t="shared" si="79"/>
        <v>-0.46024685376538271</v>
      </c>
      <c r="T694" s="7">
        <f t="shared" si="76"/>
        <v>-0.4414882361148611</v>
      </c>
      <c r="V694" s="7">
        <f t="shared" si="77"/>
        <v>-0.32357612697867805</v>
      </c>
      <c r="AF694" s="7">
        <f t="shared" si="78"/>
        <v>-0.38176086886866245</v>
      </c>
    </row>
    <row r="695" spans="1:32" x14ac:dyDescent="0.35">
      <c r="A695" t="s">
        <v>42</v>
      </c>
      <c r="B695">
        <v>1958</v>
      </c>
      <c r="E695" s="7">
        <v>1958.33333333327</v>
      </c>
      <c r="F695" s="1">
        <v>1.007114763448421</v>
      </c>
      <c r="G695" s="7">
        <v>1958.3333333332801</v>
      </c>
      <c r="H695" s="1">
        <v>1.019489101630368</v>
      </c>
      <c r="I695" s="7">
        <v>1958.33333333327</v>
      </c>
      <c r="J695" s="1">
        <v>1.0019231036233511</v>
      </c>
      <c r="L695" s="1">
        <f t="shared" si="74"/>
        <v>1.0095089895673801</v>
      </c>
      <c r="M695" s="1"/>
      <c r="N695" s="1"/>
      <c r="R695" s="7">
        <f t="shared" si="75"/>
        <v>0.31546687653099509</v>
      </c>
      <c r="S695" s="7">
        <f t="shared" si="79"/>
        <v>-0.34789461612253381</v>
      </c>
      <c r="T695" s="7">
        <f t="shared" si="76"/>
        <v>-0.70802572406486319</v>
      </c>
      <c r="V695" s="7">
        <f t="shared" si="77"/>
        <v>-0.24681782121880066</v>
      </c>
      <c r="AF695" s="7">
        <f t="shared" si="78"/>
        <v>-0.29263428882791903</v>
      </c>
    </row>
    <row r="696" spans="1:32" x14ac:dyDescent="0.35">
      <c r="A696" t="s">
        <v>40</v>
      </c>
      <c r="B696">
        <v>1958</v>
      </c>
      <c r="E696" s="7">
        <v>1958.24999999994</v>
      </c>
      <c r="F696" s="1">
        <v>1.0116359732212321</v>
      </c>
      <c r="G696" s="7">
        <v>1958.24999999994</v>
      </c>
      <c r="H696" s="1">
        <v>1.0007668315988612</v>
      </c>
      <c r="I696" s="7">
        <v>1958.24999999994</v>
      </c>
      <c r="J696" s="1">
        <v>0.9991573880260195</v>
      </c>
      <c r="L696" s="1">
        <f t="shared" si="74"/>
        <v>1.003853397615371</v>
      </c>
      <c r="M696" s="1"/>
      <c r="N696" s="1"/>
      <c r="R696" s="7">
        <f t="shared" si="75"/>
        <v>0.45471985795021641</v>
      </c>
      <c r="S696" s="7">
        <f t="shared" si="79"/>
        <v>-0.87212435343197581</v>
      </c>
      <c r="T696" s="7">
        <f t="shared" si="76"/>
        <v>-0.79445551484030774</v>
      </c>
      <c r="V696" s="7">
        <f t="shared" si="77"/>
        <v>-0.4039533367740224</v>
      </c>
      <c r="AF696" s="7">
        <f t="shared" si="78"/>
        <v>-0.4824661620265473</v>
      </c>
    </row>
    <row r="697" spans="1:32" x14ac:dyDescent="0.35">
      <c r="A697" t="s">
        <v>38</v>
      </c>
      <c r="B697">
        <v>1958</v>
      </c>
      <c r="E697" s="7">
        <v>1958.1666666666099</v>
      </c>
      <c r="F697" s="1">
        <v>1.0043203439685222</v>
      </c>
      <c r="G697" s="7">
        <v>1958.1666666666099</v>
      </c>
      <c r="H697" s="1">
        <v>1.010598965352131</v>
      </c>
      <c r="I697" s="7">
        <v>1958.1666666666099</v>
      </c>
      <c r="J697" s="1">
        <v>1.0016223195940261</v>
      </c>
      <c r="L697" s="1">
        <f t="shared" si="74"/>
        <v>1.0055138763048932</v>
      </c>
      <c r="M697" s="1"/>
      <c r="N697" s="1"/>
      <c r="R697" s="7">
        <f t="shared" si="75"/>
        <v>0.22939892935191347</v>
      </c>
      <c r="S697" s="7">
        <f t="shared" si="79"/>
        <v>-0.59682136474555969</v>
      </c>
      <c r="T697" s="7">
        <f t="shared" si="76"/>
        <v>-0.71742535313309974</v>
      </c>
      <c r="V697" s="7">
        <f t="shared" si="77"/>
        <v>-0.36161592950891536</v>
      </c>
      <c r="AF697" s="7">
        <f t="shared" si="78"/>
        <v>-0.42673162836266965</v>
      </c>
    </row>
    <row r="698" spans="1:32" x14ac:dyDescent="0.35">
      <c r="A698" t="s">
        <v>36</v>
      </c>
      <c r="B698">
        <v>1958</v>
      </c>
      <c r="E698" s="7">
        <v>1958.08333333327</v>
      </c>
      <c r="F698" s="1">
        <v>1.0236770298569333</v>
      </c>
      <c r="G698" s="7">
        <v>1958.0833333332801</v>
      </c>
      <c r="H698" s="1">
        <v>1.0413965394345119</v>
      </c>
      <c r="I698" s="7">
        <v>1958.08333333327</v>
      </c>
      <c r="J698" s="1">
        <v>1.0079036259252852</v>
      </c>
      <c r="L698" s="1">
        <f t="shared" si="74"/>
        <v>1.0243257317389101</v>
      </c>
      <c r="M698" s="1"/>
      <c r="N698" s="1"/>
      <c r="R698" s="7">
        <f t="shared" si="75"/>
        <v>0.82558365773284625</v>
      </c>
      <c r="S698" s="7">
        <f t="shared" si="79"/>
        <v>0.26552086959915155</v>
      </c>
      <c r="T698" s="7">
        <f t="shared" si="76"/>
        <v>-0.52113185407232321</v>
      </c>
      <c r="V698" s="7">
        <f t="shared" si="77"/>
        <v>0.18999089108655817</v>
      </c>
      <c r="AF698" s="7">
        <f t="shared" si="78"/>
        <v>0.20469471669261383</v>
      </c>
    </row>
    <row r="699" spans="1:32" x14ac:dyDescent="0.35">
      <c r="A699" t="s">
        <v>34</v>
      </c>
      <c r="B699">
        <v>1958</v>
      </c>
      <c r="E699" s="7">
        <v>1957.99999999994</v>
      </c>
      <c r="F699" s="1">
        <v>1.0342721808075521</v>
      </c>
      <c r="G699" s="7">
        <v>1957.99999999994</v>
      </c>
      <c r="H699" s="1">
        <v>1.0719536358952422</v>
      </c>
      <c r="I699" s="7">
        <v>1957.99999999994</v>
      </c>
      <c r="J699" s="1">
        <v>1.0326449437330152</v>
      </c>
      <c r="L699" s="1">
        <f t="shared" si="74"/>
        <v>1.0462902534786032</v>
      </c>
      <c r="M699" s="1"/>
      <c r="N699" s="1"/>
      <c r="R699" s="7">
        <f t="shared" si="75"/>
        <v>1.1519136518271069</v>
      </c>
      <c r="S699" s="7">
        <f t="shared" si="79"/>
        <v>1.1211296512047135</v>
      </c>
      <c r="T699" s="7">
        <f t="shared" si="76"/>
        <v>0.25204486868760506</v>
      </c>
      <c r="V699" s="7">
        <f t="shared" si="77"/>
        <v>0.84169605723980856</v>
      </c>
      <c r="AF699" s="7">
        <f t="shared" si="78"/>
        <v>0.94194138178780207</v>
      </c>
    </row>
    <row r="700" spans="1:32" x14ac:dyDescent="0.35">
      <c r="A700" t="s">
        <v>33</v>
      </c>
      <c r="B700">
        <v>1957</v>
      </c>
      <c r="E700" s="7">
        <v>1957.9166666666099</v>
      </c>
      <c r="F700" s="1">
        <v>1.0310781244042033</v>
      </c>
      <c r="G700" s="7">
        <v>1957.9166666666099</v>
      </c>
      <c r="H700" s="1">
        <v>1.0637767321572658</v>
      </c>
      <c r="I700" s="7">
        <v>1957.9166666666099</v>
      </c>
      <c r="J700" s="1">
        <v>1.0387524228416007</v>
      </c>
      <c r="L700" s="1">
        <f t="shared" si="74"/>
        <v>1.0445357598010234</v>
      </c>
      <c r="M700" s="1"/>
      <c r="N700" s="1"/>
      <c r="R700" s="7">
        <f t="shared" si="75"/>
        <v>1.0535369121185827</v>
      </c>
      <c r="S700" s="7">
        <f t="shared" si="79"/>
        <v>0.89217364900250773</v>
      </c>
      <c r="T700" s="7">
        <f t="shared" si="76"/>
        <v>0.44290619297913264</v>
      </c>
      <c r="V700" s="7">
        <f t="shared" si="77"/>
        <v>0.7962055847000743</v>
      </c>
      <c r="AF700" s="7">
        <f t="shared" si="78"/>
        <v>0.88305120297782047</v>
      </c>
    </row>
    <row r="701" spans="1:32" x14ac:dyDescent="0.35">
      <c r="A701" t="s">
        <v>35</v>
      </c>
      <c r="B701">
        <v>1957</v>
      </c>
      <c r="E701" s="7">
        <v>1957.83333333327</v>
      </c>
      <c r="F701" s="1">
        <v>1.0188662100554002</v>
      </c>
      <c r="G701" s="7">
        <v>1957.83333333327</v>
      </c>
      <c r="H701" s="1">
        <v>1.0498560977548335</v>
      </c>
      <c r="I701" s="7">
        <v>1957.83333333327</v>
      </c>
      <c r="J701" s="1">
        <v>1.0337530011919664</v>
      </c>
      <c r="L701" s="1">
        <f t="shared" si="74"/>
        <v>1.0341584363340666</v>
      </c>
      <c r="M701" s="1"/>
      <c r="N701" s="1"/>
      <c r="R701" s="7">
        <f t="shared" si="75"/>
        <v>0.67741070533794412</v>
      </c>
      <c r="S701" s="7">
        <f t="shared" si="79"/>
        <v>0.50239129335401778</v>
      </c>
      <c r="T701" s="7">
        <f t="shared" si="76"/>
        <v>0.28667213637800915</v>
      </c>
      <c r="V701" s="7">
        <f t="shared" si="77"/>
        <v>0.48882471168999037</v>
      </c>
      <c r="AF701" s="7">
        <f t="shared" si="78"/>
        <v>0.53473280072451113</v>
      </c>
    </row>
    <row r="702" spans="1:32" x14ac:dyDescent="0.35">
      <c r="A702" t="s">
        <v>37</v>
      </c>
      <c r="B702">
        <v>1957</v>
      </c>
      <c r="E702" s="7">
        <v>1957.74999999994</v>
      </c>
      <c r="F702" s="1">
        <v>1.018205502560213</v>
      </c>
      <c r="G702" s="7">
        <v>1957.74999999994</v>
      </c>
      <c r="H702" s="1">
        <v>1.0431909965757629</v>
      </c>
      <c r="I702" s="7">
        <v>1957.74999999994</v>
      </c>
      <c r="J702" s="1">
        <v>1.0205716315037452</v>
      </c>
      <c r="L702" s="1">
        <f t="shared" si="74"/>
        <v>1.0273227102132403</v>
      </c>
      <c r="M702" s="1"/>
      <c r="N702" s="1"/>
      <c r="R702" s="7">
        <f t="shared" si="75"/>
        <v>0.65706095534312381</v>
      </c>
      <c r="S702" s="7">
        <f t="shared" si="79"/>
        <v>0.31576626154083126</v>
      </c>
      <c r="T702" s="7">
        <f t="shared" si="76"/>
        <v>-0.12525128242395078</v>
      </c>
      <c r="V702" s="7">
        <f t="shared" si="77"/>
        <v>0.2825253114866681</v>
      </c>
      <c r="AF702" s="7">
        <f t="shared" si="78"/>
        <v>0.30528932156257155</v>
      </c>
    </row>
    <row r="703" spans="1:32" x14ac:dyDescent="0.35">
      <c r="A703" t="s">
        <v>39</v>
      </c>
      <c r="B703">
        <v>1957</v>
      </c>
      <c r="E703" s="7">
        <v>1957.6666666666099</v>
      </c>
      <c r="F703" s="1">
        <v>1.0166657946505675</v>
      </c>
      <c r="G703" s="7">
        <v>1957.6666666666099</v>
      </c>
      <c r="H703" s="1">
        <v>1.0358110329874901</v>
      </c>
      <c r="I703" s="7">
        <v>1957.6666666666099</v>
      </c>
      <c r="J703" s="1">
        <v>1.0180695597434937</v>
      </c>
      <c r="L703" s="1">
        <f t="shared" si="74"/>
        <v>1.0235154624605169</v>
      </c>
      <c r="M703" s="1"/>
      <c r="N703" s="1"/>
      <c r="R703" s="7">
        <f t="shared" si="75"/>
        <v>0.60963804693876877</v>
      </c>
      <c r="S703" s="7">
        <f t="shared" si="79"/>
        <v>0.10912484643877075</v>
      </c>
      <c r="T703" s="7">
        <f t="shared" si="76"/>
        <v>-0.20344209096273524</v>
      </c>
      <c r="V703" s="7">
        <f t="shared" si="77"/>
        <v>0.17177360080493476</v>
      </c>
      <c r="AF703" s="7">
        <f t="shared" si="78"/>
        <v>0.17749775195083764</v>
      </c>
    </row>
    <row r="704" spans="1:32" x14ac:dyDescent="0.35">
      <c r="A704" t="s">
        <v>41</v>
      </c>
      <c r="B704">
        <v>1957</v>
      </c>
      <c r="E704" s="7">
        <v>1957.58333333327</v>
      </c>
      <c r="F704" s="1">
        <v>0.99500054651474434</v>
      </c>
      <c r="G704" s="7">
        <v>1957.58333333327</v>
      </c>
      <c r="H704" s="1">
        <v>1.0201169652624709</v>
      </c>
      <c r="I704" s="7">
        <v>1957.58333333327</v>
      </c>
      <c r="J704" s="1">
        <v>1.0218931948624179</v>
      </c>
      <c r="L704" s="1">
        <f t="shared" si="74"/>
        <v>1.0123369022132112</v>
      </c>
      <c r="M704" s="1"/>
      <c r="N704" s="1"/>
      <c r="R704" s="7">
        <f t="shared" si="75"/>
        <v>-5.7650255905178999E-2</v>
      </c>
      <c r="S704" s="7">
        <f t="shared" si="79"/>
        <v>-0.3303142272931055</v>
      </c>
      <c r="T704" s="7">
        <f t="shared" si="76"/>
        <v>-8.3951864401078227E-2</v>
      </c>
      <c r="V704" s="7">
        <f t="shared" si="77"/>
        <v>-0.15730544919978756</v>
      </c>
      <c r="AF704" s="7">
        <f t="shared" si="78"/>
        <v>-0.19771443616607923</v>
      </c>
    </row>
    <row r="705" spans="1:32" x14ac:dyDescent="0.35">
      <c r="A705" t="s">
        <v>43</v>
      </c>
      <c r="B705">
        <v>1957</v>
      </c>
      <c r="E705" s="7">
        <v>1957.49999999994</v>
      </c>
      <c r="F705" s="1">
        <v>0.98614462390812541</v>
      </c>
      <c r="G705" s="7">
        <v>1957.49999999994</v>
      </c>
      <c r="H705" s="1">
        <v>1.011037567768978</v>
      </c>
      <c r="I705" s="7">
        <v>1957.49999999994</v>
      </c>
      <c r="J705" s="1">
        <v>1.0114193225449761</v>
      </c>
      <c r="L705" s="1">
        <f t="shared" si="74"/>
        <v>1.0028671714073598</v>
      </c>
      <c r="M705" s="1"/>
      <c r="N705" s="1"/>
      <c r="R705" s="7">
        <f t="shared" si="75"/>
        <v>-0.33041212455495039</v>
      </c>
      <c r="S705" s="7">
        <f t="shared" si="79"/>
        <v>-0.58454035238006874</v>
      </c>
      <c r="T705" s="7">
        <f t="shared" si="76"/>
        <v>-0.41126483681176518</v>
      </c>
      <c r="V705" s="7">
        <f t="shared" si="77"/>
        <v>-0.44207243791559475</v>
      </c>
      <c r="AF705" s="7">
        <f t="shared" si="78"/>
        <v>-0.51556918113630223</v>
      </c>
    </row>
    <row r="706" spans="1:32" x14ac:dyDescent="0.35">
      <c r="A706" t="s">
        <v>44</v>
      </c>
      <c r="B706">
        <v>1957</v>
      </c>
      <c r="E706" s="7">
        <v>1957.4166666666099</v>
      </c>
      <c r="F706" s="1">
        <v>0.97605888722348577</v>
      </c>
      <c r="G706" s="7">
        <v>1957.4166666666099</v>
      </c>
      <c r="H706" s="1">
        <v>0.99687617380976046</v>
      </c>
      <c r="I706" s="7">
        <v>1957.4166666666099</v>
      </c>
      <c r="J706" s="1">
        <v>1.0122747095573965</v>
      </c>
      <c r="L706" s="1">
        <f t="shared" si="74"/>
        <v>0.99506992353021417</v>
      </c>
      <c r="M706" s="1"/>
      <c r="N706" s="1"/>
      <c r="R706" s="7">
        <f t="shared" si="75"/>
        <v>-0.64105219075830111</v>
      </c>
      <c r="S706" s="7">
        <f t="shared" si="79"/>
        <v>-0.98106405504448568</v>
      </c>
      <c r="T706" s="7">
        <f t="shared" si="76"/>
        <v>-0.38453362822804277</v>
      </c>
      <c r="V706" s="7">
        <f t="shared" si="77"/>
        <v>-0.6688832913436098</v>
      </c>
      <c r="AF706" s="7">
        <f t="shared" si="78"/>
        <v>-0.77728646605936935</v>
      </c>
    </row>
    <row r="707" spans="1:32" x14ac:dyDescent="0.35">
      <c r="A707" t="s">
        <v>42</v>
      </c>
      <c r="B707">
        <v>1957</v>
      </c>
      <c r="E707" s="7">
        <v>1957.33333333327</v>
      </c>
      <c r="F707" s="1">
        <v>0.98810919738067726</v>
      </c>
      <c r="G707" s="7">
        <v>1957.33333333327</v>
      </c>
      <c r="H707" s="1">
        <v>0.98572419897420127</v>
      </c>
      <c r="I707" s="7">
        <v>1957.33333333327</v>
      </c>
      <c r="J707" s="1">
        <v>1.0137277897662282</v>
      </c>
      <c r="L707" s="1">
        <f t="shared" si="74"/>
        <v>0.99585372870703559</v>
      </c>
      <c r="M707" s="1"/>
      <c r="N707" s="1"/>
      <c r="R707" s="7">
        <f t="shared" si="75"/>
        <v>-0.26990338308599143</v>
      </c>
      <c r="S707" s="7">
        <f t="shared" si="79"/>
        <v>-1.2933230294470772</v>
      </c>
      <c r="T707" s="7">
        <f t="shared" si="76"/>
        <v>-0.33912425260372536</v>
      </c>
      <c r="V707" s="7">
        <f t="shared" si="77"/>
        <v>-0.63411688837893132</v>
      </c>
      <c r="AF707" s="7">
        <f t="shared" si="78"/>
        <v>-0.75097777791472098</v>
      </c>
    </row>
    <row r="708" spans="1:32" x14ac:dyDescent="0.35">
      <c r="A708" t="s">
        <v>40</v>
      </c>
      <c r="B708">
        <v>1957</v>
      </c>
      <c r="E708" s="7">
        <v>1957.24999999994</v>
      </c>
      <c r="F708" s="1">
        <v>0.98678261223494967</v>
      </c>
      <c r="G708" s="7">
        <v>1957.24999999994</v>
      </c>
      <c r="H708" s="1">
        <v>0.98152008716167427</v>
      </c>
      <c r="I708" s="7">
        <v>1957.24999999994</v>
      </c>
      <c r="J708" s="1">
        <v>1.0091938023897855</v>
      </c>
      <c r="L708" s="1">
        <f t="shared" si="74"/>
        <v>0.99249883392880311</v>
      </c>
      <c r="M708" s="1"/>
      <c r="N708" s="1"/>
      <c r="R708" s="7">
        <f t="shared" si="75"/>
        <v>-0.31076212354079674</v>
      </c>
      <c r="S708" s="7">
        <f t="shared" si="79"/>
        <v>-1.4110395471231749</v>
      </c>
      <c r="T708" s="7">
        <f t="shared" si="76"/>
        <v>-0.48081328986501515</v>
      </c>
      <c r="V708" s="7">
        <f t="shared" si="77"/>
        <v>-0.73420498684299551</v>
      </c>
      <c r="AF708" s="7">
        <f t="shared" si="78"/>
        <v>-0.86358596562351075</v>
      </c>
    </row>
    <row r="709" spans="1:32" x14ac:dyDescent="0.35">
      <c r="A709" t="s">
        <v>38</v>
      </c>
      <c r="B709">
        <v>1957</v>
      </c>
      <c r="E709" s="7">
        <v>1957.1666666666099</v>
      </c>
      <c r="F709" s="1">
        <v>0.99546766688473909</v>
      </c>
      <c r="G709" s="7">
        <v>1957.1666666666099</v>
      </c>
      <c r="H709" s="1">
        <v>0.99559510841707033</v>
      </c>
      <c r="I709" s="7">
        <v>1957.1666666666099</v>
      </c>
      <c r="J709" s="1">
        <v>1.0194663762436054</v>
      </c>
      <c r="L709" s="1">
        <f t="shared" ref="L709:L772" si="80">AVERAGE(D709,F709,H709,J709)</f>
        <v>1.0035097171818048</v>
      </c>
      <c r="M709" s="1"/>
      <c r="N709" s="1"/>
      <c r="R709" s="7">
        <f t="shared" ref="R709:R747" si="81">STANDARDIZE(F709, AVERAGE($F$4:$F$747), _xlfn.STDEV.P($F$4:$F$747))</f>
        <v>-4.3262977395212045E-2</v>
      </c>
      <c r="S709" s="7">
        <f t="shared" si="79"/>
        <v>-1.0169343086598861</v>
      </c>
      <c r="T709" s="7">
        <f t="shared" ref="T709:T772" si="82">STANDARDIZE(J709,AVERAGE($J$4:$J$795),_xlfn.STDEV.P($J$4:$J$795))</f>
        <v>-0.15979098020759469</v>
      </c>
      <c r="V709" s="7">
        <f t="shared" ref="V709:V772" si="83">AVERAGE(Q709,R709,S709,T709)</f>
        <v>-0.40666275542089764</v>
      </c>
      <c r="AF709" s="7">
        <f t="shared" ref="AF709:AF772" si="84">STANDARDIZE(L709,L$1,L$2)</f>
        <v>-0.4940019130211713</v>
      </c>
    </row>
    <row r="710" spans="1:32" x14ac:dyDescent="0.35">
      <c r="A710" t="s">
        <v>36</v>
      </c>
      <c r="B710">
        <v>1957</v>
      </c>
      <c r="E710" s="7">
        <v>1957.08333333327</v>
      </c>
      <c r="F710" s="1">
        <v>1.0196708937464114</v>
      </c>
      <c r="G710" s="7">
        <v>1957.08333333327</v>
      </c>
      <c r="H710" s="1">
        <v>1.039793666103954</v>
      </c>
      <c r="I710" s="7">
        <v>1957.08333333327</v>
      </c>
      <c r="J710" s="1">
        <v>1.038954424374362</v>
      </c>
      <c r="L710" s="1">
        <f t="shared" si="80"/>
        <v>1.0328063280749091</v>
      </c>
      <c r="M710" s="1"/>
      <c r="N710" s="1"/>
      <c r="R710" s="7">
        <f t="shared" si="81"/>
        <v>0.7021949132609171</v>
      </c>
      <c r="S710" s="7">
        <f t="shared" si="79"/>
        <v>0.22063988755986574</v>
      </c>
      <c r="T710" s="7">
        <f t="shared" si="82"/>
        <v>0.449218826942553</v>
      </c>
      <c r="V710" s="7">
        <f t="shared" si="83"/>
        <v>0.45735120925444522</v>
      </c>
      <c r="AF710" s="7">
        <f t="shared" si="84"/>
        <v>0.48934882575226984</v>
      </c>
    </row>
    <row r="711" spans="1:32" x14ac:dyDescent="0.35">
      <c r="A711" t="s">
        <v>34</v>
      </c>
      <c r="B711">
        <v>1957</v>
      </c>
      <c r="E711" s="7">
        <v>1956.99999999994</v>
      </c>
      <c r="F711" s="1">
        <v>1.0598139007809984</v>
      </c>
      <c r="G711" s="7">
        <v>1956.99999999994</v>
      </c>
      <c r="H711" s="1">
        <v>1.0760482362156998</v>
      </c>
      <c r="I711" s="7">
        <v>1956.99999999994</v>
      </c>
      <c r="J711" s="1">
        <v>1.0622725542117555</v>
      </c>
      <c r="L711" s="1">
        <f t="shared" si="80"/>
        <v>1.0660448970694845</v>
      </c>
      <c r="M711" s="1"/>
      <c r="N711" s="1"/>
      <c r="R711" s="7">
        <f t="shared" si="81"/>
        <v>1.9385970475559016</v>
      </c>
      <c r="S711" s="7">
        <f t="shared" si="79"/>
        <v>1.2357798109753175</v>
      </c>
      <c r="T711" s="7">
        <f t="shared" si="82"/>
        <v>1.1779203192670031</v>
      </c>
      <c r="V711" s="7">
        <f t="shared" si="83"/>
        <v>1.4507657259327409</v>
      </c>
      <c r="AF711" s="7">
        <f t="shared" si="84"/>
        <v>1.6050127329477919</v>
      </c>
    </row>
    <row r="712" spans="1:32" x14ac:dyDescent="0.35">
      <c r="A712" t="s">
        <v>33</v>
      </c>
      <c r="B712">
        <v>1956</v>
      </c>
      <c r="E712" s="7">
        <v>1956.9166666665999</v>
      </c>
      <c r="F712" s="1">
        <v>1.0671148431224566</v>
      </c>
      <c r="G712" s="7">
        <v>1956.9166666666099</v>
      </c>
      <c r="H712" s="1">
        <v>1.0820977998680772</v>
      </c>
      <c r="I712" s="7">
        <v>1956.9166666665999</v>
      </c>
      <c r="J712" s="1">
        <v>1.0645733798083596</v>
      </c>
      <c r="L712" s="1">
        <f t="shared" si="80"/>
        <v>1.0712620075996313</v>
      </c>
      <c r="M712" s="1"/>
      <c r="N712" s="1"/>
      <c r="R712" s="7">
        <f t="shared" si="81"/>
        <v>2.1634656201958666</v>
      </c>
      <c r="S712" s="7">
        <f t="shared" si="79"/>
        <v>1.4051695889768965</v>
      </c>
      <c r="T712" s="7">
        <f t="shared" si="82"/>
        <v>1.2498220994490095</v>
      </c>
      <c r="V712" s="7">
        <f t="shared" si="83"/>
        <v>1.6061524362072575</v>
      </c>
      <c r="AF712" s="7">
        <f t="shared" si="84"/>
        <v>1.7801268276395479</v>
      </c>
    </row>
    <row r="713" spans="1:32" x14ac:dyDescent="0.35">
      <c r="A713" t="s">
        <v>35</v>
      </c>
      <c r="B713">
        <v>1956</v>
      </c>
      <c r="E713" s="7">
        <v>1956.83333333327</v>
      </c>
      <c r="F713" s="1">
        <v>1.0593988250488193</v>
      </c>
      <c r="G713" s="7">
        <v>1956.83333333327</v>
      </c>
      <c r="H713" s="1">
        <v>1.0688223284626928</v>
      </c>
      <c r="I713" s="7">
        <v>1956.83333333327</v>
      </c>
      <c r="J713" s="1">
        <v>1.0624023124258348</v>
      </c>
      <c r="L713" s="1">
        <f t="shared" si="80"/>
        <v>1.063541155312449</v>
      </c>
      <c r="M713" s="1"/>
      <c r="N713" s="1"/>
      <c r="R713" s="7">
        <f t="shared" si="81"/>
        <v>1.9258127406723131</v>
      </c>
      <c r="S713" s="7">
        <f t="shared" si="79"/>
        <v>1.0334520100833091</v>
      </c>
      <c r="T713" s="7">
        <f t="shared" si="82"/>
        <v>1.1819753187416757</v>
      </c>
      <c r="V713" s="7">
        <f t="shared" si="83"/>
        <v>1.3804133564990995</v>
      </c>
      <c r="AF713" s="7">
        <f t="shared" si="84"/>
        <v>1.5209737867549313</v>
      </c>
    </row>
    <row r="714" spans="1:32" x14ac:dyDescent="0.35">
      <c r="A714" t="s">
        <v>37</v>
      </c>
      <c r="B714">
        <v>1956</v>
      </c>
      <c r="E714" s="7">
        <v>1956.74999999994</v>
      </c>
      <c r="F714" s="1">
        <v>1.0690827647845365</v>
      </c>
      <c r="G714" s="7">
        <v>1956.74999999994</v>
      </c>
      <c r="H714" s="1">
        <v>1.0592645018224514</v>
      </c>
      <c r="I714" s="7">
        <v>1956.74999999994</v>
      </c>
      <c r="J714" s="1">
        <v>1.0596471177116034</v>
      </c>
      <c r="L714" s="1">
        <f t="shared" si="80"/>
        <v>1.0626647947728636</v>
      </c>
      <c r="M714" s="1"/>
      <c r="N714" s="1"/>
      <c r="R714" s="7">
        <f t="shared" si="81"/>
        <v>2.2240774856952408</v>
      </c>
      <c r="S714" s="7">
        <f t="shared" si="79"/>
        <v>0.76582971105487896</v>
      </c>
      <c r="T714" s="7">
        <f t="shared" si="82"/>
        <v>1.0958743100456312</v>
      </c>
      <c r="V714" s="7">
        <f t="shared" si="83"/>
        <v>1.361927168931917</v>
      </c>
      <c r="AF714" s="7">
        <f t="shared" si="84"/>
        <v>1.4915584462850877</v>
      </c>
    </row>
    <row r="715" spans="1:32" x14ac:dyDescent="0.35">
      <c r="A715" t="s">
        <v>39</v>
      </c>
      <c r="B715">
        <v>1956</v>
      </c>
      <c r="E715" s="7">
        <v>1956.6666666665999</v>
      </c>
      <c r="F715" s="1">
        <v>1.0740265095677968</v>
      </c>
      <c r="G715" s="7">
        <v>1956.6666666666099</v>
      </c>
      <c r="H715" s="1">
        <v>1.0683368342160213</v>
      </c>
      <c r="I715" s="7">
        <v>1956.6666666665999</v>
      </c>
      <c r="J715" s="1">
        <v>1.0557653452349147</v>
      </c>
      <c r="L715" s="1">
        <f t="shared" si="80"/>
        <v>1.0660428963395774</v>
      </c>
      <c r="M715" s="1"/>
      <c r="N715" s="1"/>
      <c r="R715" s="7">
        <f t="shared" si="81"/>
        <v>2.3763445193075037</v>
      </c>
      <c r="S715" s="7">
        <f t="shared" si="79"/>
        <v>1.0198580110132438</v>
      </c>
      <c r="T715" s="7">
        <f t="shared" si="82"/>
        <v>0.97456726628387547</v>
      </c>
      <c r="V715" s="7">
        <f t="shared" si="83"/>
        <v>1.4569232655348745</v>
      </c>
      <c r="AF715" s="7">
        <f t="shared" si="84"/>
        <v>1.6049455777659385</v>
      </c>
    </row>
    <row r="716" spans="1:32" x14ac:dyDescent="0.35">
      <c r="A716" t="s">
        <v>41</v>
      </c>
      <c r="B716">
        <v>1956</v>
      </c>
      <c r="E716" s="7">
        <v>1956.58333333327</v>
      </c>
      <c r="F716" s="1">
        <v>1.060270304677172</v>
      </c>
      <c r="G716" s="7">
        <v>1956.58333333327</v>
      </c>
      <c r="H716" s="1">
        <v>1.0696087614180121</v>
      </c>
      <c r="I716" s="7">
        <v>1956.58333333327</v>
      </c>
      <c r="J716" s="1">
        <v>1.0442347722311807</v>
      </c>
      <c r="L716" s="1">
        <f t="shared" si="80"/>
        <v>1.0580379461087883</v>
      </c>
      <c r="M716" s="1"/>
      <c r="N716" s="1"/>
      <c r="R716" s="7">
        <f t="shared" si="81"/>
        <v>1.9526542593348652</v>
      </c>
      <c r="S716" s="7">
        <f t="shared" si="79"/>
        <v>1.0554723922743974</v>
      </c>
      <c r="T716" s="7">
        <f t="shared" si="82"/>
        <v>0.61423194720940821</v>
      </c>
      <c r="V716" s="7">
        <f t="shared" si="83"/>
        <v>1.2074528662728901</v>
      </c>
      <c r="AF716" s="7">
        <f t="shared" si="84"/>
        <v>1.336256692487954</v>
      </c>
    </row>
    <row r="717" spans="1:32" x14ac:dyDescent="0.35">
      <c r="A717" t="s">
        <v>43</v>
      </c>
      <c r="B717">
        <v>1956</v>
      </c>
      <c r="E717" s="7">
        <v>1956.49999999994</v>
      </c>
      <c r="F717" s="1">
        <v>1.0333051309243533</v>
      </c>
      <c r="G717" s="7">
        <v>1956.49999999994</v>
      </c>
      <c r="H717" s="1">
        <v>1.0661040961551407</v>
      </c>
      <c r="I717" s="7">
        <v>1956.49999999994</v>
      </c>
      <c r="J717" s="1">
        <v>1.0357056475804971</v>
      </c>
      <c r="L717" s="1">
        <f t="shared" si="80"/>
        <v>1.0450382915533305</v>
      </c>
      <c r="M717" s="1"/>
      <c r="N717" s="1"/>
      <c r="R717" s="7">
        <f t="shared" si="81"/>
        <v>1.1221285752251824</v>
      </c>
      <c r="S717" s="7">
        <f t="shared" si="79"/>
        <v>0.95734060873421856</v>
      </c>
      <c r="T717" s="7">
        <f t="shared" si="82"/>
        <v>0.34769316796273125</v>
      </c>
      <c r="V717" s="7">
        <f t="shared" si="83"/>
        <v>0.80905411730737742</v>
      </c>
      <c r="AF717" s="7">
        <f t="shared" si="84"/>
        <v>0.8999188526759837</v>
      </c>
    </row>
    <row r="718" spans="1:32" x14ac:dyDescent="0.35">
      <c r="A718" t="s">
        <v>44</v>
      </c>
      <c r="B718">
        <v>1956</v>
      </c>
      <c r="E718" s="7">
        <v>1956.4166666665999</v>
      </c>
      <c r="F718" s="1">
        <v>1.0303786307923817</v>
      </c>
      <c r="G718" s="7">
        <v>1956.4166666666099</v>
      </c>
      <c r="H718" s="1">
        <v>1.0390983059951169</v>
      </c>
      <c r="I718" s="7">
        <v>1956.4166666665999</v>
      </c>
      <c r="J718" s="1">
        <v>1.029671900444078</v>
      </c>
      <c r="L718" s="1">
        <f t="shared" si="80"/>
        <v>1.0330496124105255</v>
      </c>
      <c r="M718" s="1"/>
      <c r="N718" s="1"/>
      <c r="R718" s="7">
        <f t="shared" si="81"/>
        <v>1.0319925521298845</v>
      </c>
      <c r="S718" s="7">
        <f t="shared" si="79"/>
        <v>0.20116957511497088</v>
      </c>
      <c r="T718" s="7">
        <f t="shared" si="82"/>
        <v>0.15913599921559632</v>
      </c>
      <c r="V718" s="7">
        <f t="shared" si="83"/>
        <v>0.46409937548681723</v>
      </c>
      <c r="AF718" s="7">
        <f t="shared" si="84"/>
        <v>0.49751474747042607</v>
      </c>
    </row>
    <row r="719" spans="1:32" x14ac:dyDescent="0.35">
      <c r="A719" t="s">
        <v>42</v>
      </c>
      <c r="B719">
        <v>1956</v>
      </c>
      <c r="E719" s="7">
        <v>1956.33333333327</v>
      </c>
      <c r="F719" s="1">
        <v>1.0240818799708054</v>
      </c>
      <c r="G719" s="7">
        <v>1956.33333333327</v>
      </c>
      <c r="H719" s="1">
        <v>1.0107278226028069</v>
      </c>
      <c r="I719" s="7">
        <v>1956.33333333327</v>
      </c>
      <c r="J719" s="1">
        <v>1.0208731895826579</v>
      </c>
      <c r="L719" s="1">
        <f t="shared" si="80"/>
        <v>1.0185609640520901</v>
      </c>
      <c r="M719" s="1"/>
      <c r="N719" s="1"/>
      <c r="R719" s="7">
        <f t="shared" si="81"/>
        <v>0.83805301620491279</v>
      </c>
      <c r="S719" s="7">
        <f t="shared" si="79"/>
        <v>-0.59321331921696885</v>
      </c>
      <c r="T719" s="7">
        <f t="shared" si="82"/>
        <v>-0.11582746397630572</v>
      </c>
      <c r="V719" s="7">
        <f t="shared" si="83"/>
        <v>4.3004077670546072E-2</v>
      </c>
      <c r="AF719" s="7">
        <f t="shared" si="84"/>
        <v>1.1198322711220116E-2</v>
      </c>
    </row>
    <row r="720" spans="1:32" x14ac:dyDescent="0.35">
      <c r="A720" t="s">
        <v>40</v>
      </c>
      <c r="B720">
        <v>1956</v>
      </c>
      <c r="E720" s="7">
        <v>1956.24999999994</v>
      </c>
      <c r="F720" s="1">
        <v>1.0089515561272828</v>
      </c>
      <c r="G720" s="7">
        <v>1956.24999999994</v>
      </c>
      <c r="H720" s="1">
        <v>1.0102048510886084</v>
      </c>
      <c r="I720" s="7">
        <v>1956.24999999994</v>
      </c>
      <c r="J720" s="1">
        <v>1.0196486993006173</v>
      </c>
      <c r="L720" s="1">
        <f t="shared" si="80"/>
        <v>1.0129350355055029</v>
      </c>
      <c r="M720" s="1"/>
      <c r="N720" s="1"/>
      <c r="R720" s="7">
        <f t="shared" si="81"/>
        <v>0.3720399774560324</v>
      </c>
      <c r="S720" s="7">
        <f t="shared" ref="S720:S758" si="85">STANDARDIZE(H720, AVERAGE($H$4:$H$891), _xlfn.STDEV.P($H$4:$H$891))</f>
        <v>-0.60785669414144461</v>
      </c>
      <c r="T720" s="7">
        <f t="shared" si="82"/>
        <v>-0.15409330699553903</v>
      </c>
      <c r="V720" s="7">
        <f t="shared" si="83"/>
        <v>-0.1299700078936504</v>
      </c>
      <c r="AF720" s="7">
        <f t="shared" si="84"/>
        <v>-0.17763788816514572</v>
      </c>
    </row>
    <row r="721" spans="1:32" x14ac:dyDescent="0.35">
      <c r="A721" t="s">
        <v>38</v>
      </c>
      <c r="B721">
        <v>1956</v>
      </c>
      <c r="E721" s="7">
        <v>1956.1666666665999</v>
      </c>
      <c r="F721" s="1">
        <v>1.003252541346404</v>
      </c>
      <c r="G721" s="7">
        <v>1956.1666666666099</v>
      </c>
      <c r="H721" s="1">
        <v>1.0112843902361477</v>
      </c>
      <c r="I721" s="7">
        <v>1956.1666666665999</v>
      </c>
      <c r="J721" s="1">
        <v>1.0365867746584105</v>
      </c>
      <c r="L721" s="1">
        <f t="shared" si="80"/>
        <v>1.017041235413654</v>
      </c>
      <c r="M721" s="1"/>
      <c r="N721" s="1"/>
      <c r="R721" s="7">
        <f t="shared" si="81"/>
        <v>0.19651067462163668</v>
      </c>
      <c r="S721" s="7">
        <f t="shared" si="85"/>
        <v>-0.57762924187324038</v>
      </c>
      <c r="T721" s="7">
        <f t="shared" si="82"/>
        <v>0.37522876455990567</v>
      </c>
      <c r="V721" s="7">
        <f t="shared" si="83"/>
        <v>-1.9632675638993438E-3</v>
      </c>
      <c r="AF721" s="7">
        <f t="shared" si="84"/>
        <v>-3.9811887472956012E-2</v>
      </c>
    </row>
    <row r="722" spans="1:32" x14ac:dyDescent="0.35">
      <c r="A722" t="s">
        <v>36</v>
      </c>
      <c r="B722">
        <v>1956</v>
      </c>
      <c r="E722" s="7">
        <v>1956.08333333327</v>
      </c>
      <c r="F722" s="1">
        <v>1.0200129139180765</v>
      </c>
      <c r="G722" s="7">
        <v>1956.08333333327</v>
      </c>
      <c r="H722" s="1">
        <v>1.0454189890442604</v>
      </c>
      <c r="I722" s="7">
        <v>1956.08333333327</v>
      </c>
      <c r="J722" s="1">
        <v>1.0778302332086604</v>
      </c>
      <c r="L722" s="1">
        <f t="shared" si="80"/>
        <v>1.0477540453903325</v>
      </c>
      <c r="M722" s="1"/>
      <c r="N722" s="1"/>
      <c r="R722" s="7">
        <f t="shared" si="81"/>
        <v>0.71272911339829803</v>
      </c>
      <c r="S722" s="7">
        <f t="shared" si="85"/>
        <v>0.3781507856675726</v>
      </c>
      <c r="T722" s="7">
        <f t="shared" si="82"/>
        <v>1.6641044164139924</v>
      </c>
      <c r="V722" s="7">
        <f t="shared" si="83"/>
        <v>0.91832810515995433</v>
      </c>
      <c r="AF722" s="7">
        <f t="shared" si="84"/>
        <v>0.99107405665799986</v>
      </c>
    </row>
    <row r="723" spans="1:32" x14ac:dyDescent="0.35">
      <c r="A723" t="s">
        <v>34</v>
      </c>
      <c r="B723">
        <v>1956</v>
      </c>
      <c r="E723" s="7">
        <v>1955.99999999994</v>
      </c>
      <c r="F723" s="1">
        <v>1.0618022807854106</v>
      </c>
      <c r="G723" s="7">
        <v>1955.99999999994</v>
      </c>
      <c r="H723" s="1">
        <v>1.086686845100207</v>
      </c>
      <c r="I723" s="7">
        <v>1955.99999999994</v>
      </c>
      <c r="J723" s="1">
        <v>1.0856357953858489</v>
      </c>
      <c r="L723" s="1">
        <f t="shared" si="80"/>
        <v>1.0780416404238222</v>
      </c>
      <c r="M723" s="1"/>
      <c r="N723" s="1"/>
      <c r="R723" s="7">
        <f t="shared" si="81"/>
        <v>1.9998390287340084</v>
      </c>
      <c r="S723" s="7">
        <f t="shared" si="85"/>
        <v>1.5336643693903866</v>
      </c>
      <c r="T723" s="7">
        <f t="shared" si="82"/>
        <v>1.9080315600834306</v>
      </c>
      <c r="V723" s="7">
        <f t="shared" si="83"/>
        <v>1.8138449860692754</v>
      </c>
      <c r="AF723" s="7">
        <f t="shared" si="84"/>
        <v>2.0076875161644447</v>
      </c>
    </row>
    <row r="724" spans="1:32" x14ac:dyDescent="0.35">
      <c r="A724" t="s">
        <v>33</v>
      </c>
      <c r="B724">
        <v>1955</v>
      </c>
      <c r="E724" s="7">
        <v>1955.9166666665999</v>
      </c>
      <c r="F724" s="1">
        <v>1.0840922202077943</v>
      </c>
      <c r="G724" s="7">
        <v>1955.9166666665999</v>
      </c>
      <c r="H724" s="1">
        <v>1.1036526976785508</v>
      </c>
      <c r="I724" s="7">
        <v>1955.9166666665999</v>
      </c>
      <c r="J724" s="1">
        <v>1.0763597265933753</v>
      </c>
      <c r="L724" s="1">
        <f t="shared" si="80"/>
        <v>1.0880348814932401</v>
      </c>
      <c r="M724" s="1"/>
      <c r="N724" s="1"/>
      <c r="R724" s="7">
        <f t="shared" si="81"/>
        <v>2.6863677845742506</v>
      </c>
      <c r="S724" s="7">
        <f t="shared" si="85"/>
        <v>2.0087138385738026</v>
      </c>
      <c r="T724" s="7">
        <f t="shared" si="82"/>
        <v>1.6181504581633235</v>
      </c>
      <c r="V724" s="7">
        <f t="shared" si="83"/>
        <v>2.104410693770459</v>
      </c>
      <c r="AF724" s="7">
        <f t="shared" si="84"/>
        <v>2.3431140617197936</v>
      </c>
    </row>
    <row r="725" spans="1:32" x14ac:dyDescent="0.35">
      <c r="A725" t="s">
        <v>35</v>
      </c>
      <c r="B725">
        <v>1955</v>
      </c>
      <c r="E725" s="7">
        <v>1955.83333333327</v>
      </c>
      <c r="F725" s="1">
        <v>1.0970024378585186</v>
      </c>
      <c r="G725" s="7">
        <v>1955.83333333327</v>
      </c>
      <c r="H725" s="1">
        <v>1.1007976373975628</v>
      </c>
      <c r="I725" s="7">
        <v>1955.83333333327</v>
      </c>
      <c r="J725" s="1">
        <v>1.046602950458255</v>
      </c>
      <c r="L725" s="1">
        <f t="shared" si="80"/>
        <v>1.0814676752381123</v>
      </c>
      <c r="M725" s="1"/>
      <c r="N725" s="1"/>
      <c r="R725" s="7">
        <f t="shared" si="81"/>
        <v>3.0840016898722613</v>
      </c>
      <c r="S725" s="7">
        <f t="shared" si="85"/>
        <v>1.9287712088293196</v>
      </c>
      <c r="T725" s="7">
        <f t="shared" si="82"/>
        <v>0.68823852578982225</v>
      </c>
      <c r="V725" s="7">
        <f t="shared" si="83"/>
        <v>1.9003371414971344</v>
      </c>
      <c r="AF725" s="7">
        <f t="shared" si="84"/>
        <v>2.1226835434519771</v>
      </c>
    </row>
    <row r="726" spans="1:32" x14ac:dyDescent="0.35">
      <c r="A726" t="s">
        <v>37</v>
      </c>
      <c r="B726">
        <v>1955</v>
      </c>
      <c r="E726" s="7">
        <v>1955.74999999994</v>
      </c>
      <c r="F726" s="1">
        <v>1.0896117065086788</v>
      </c>
      <c r="G726" s="7">
        <v>1955.74999999994</v>
      </c>
      <c r="H726" s="1">
        <v>1.0994508268142966</v>
      </c>
      <c r="I726" s="7">
        <v>1955.74999999994</v>
      </c>
      <c r="J726" s="1">
        <v>1.0255599984906107</v>
      </c>
      <c r="L726" s="1">
        <f t="shared" si="80"/>
        <v>1.0715408439378622</v>
      </c>
      <c r="M726" s="1"/>
      <c r="N726" s="1"/>
      <c r="R726" s="7">
        <f t="shared" si="81"/>
        <v>2.8563676213265334</v>
      </c>
      <c r="S726" s="7">
        <f t="shared" si="85"/>
        <v>1.8910600681886269</v>
      </c>
      <c r="T726" s="7">
        <f t="shared" si="82"/>
        <v>3.0637311255707792E-2</v>
      </c>
      <c r="V726" s="7">
        <f t="shared" si="83"/>
        <v>1.5926883335902895</v>
      </c>
      <c r="AF726" s="7">
        <f t="shared" si="84"/>
        <v>1.7894860644535495</v>
      </c>
    </row>
    <row r="727" spans="1:32" x14ac:dyDescent="0.35">
      <c r="A727" t="s">
        <v>39</v>
      </c>
      <c r="B727">
        <v>1955</v>
      </c>
      <c r="E727" s="7">
        <v>1955.6666666665999</v>
      </c>
      <c r="F727" s="1">
        <v>1.068841239651515</v>
      </c>
      <c r="G727" s="7">
        <v>1955.6666666665999</v>
      </c>
      <c r="H727" s="1">
        <v>1.0792213574513918</v>
      </c>
      <c r="I727" s="7">
        <v>1955.6666666665999</v>
      </c>
      <c r="J727" s="1">
        <v>1.0184666401162705</v>
      </c>
      <c r="L727" s="1">
        <f t="shared" si="80"/>
        <v>1.0555097457397258</v>
      </c>
      <c r="M727" s="1"/>
      <c r="N727" s="1"/>
      <c r="R727" s="7">
        <f t="shared" si="81"/>
        <v>2.2166385265336537</v>
      </c>
      <c r="S727" s="7">
        <f t="shared" si="85"/>
        <v>1.3246282523789779</v>
      </c>
      <c r="T727" s="7">
        <f t="shared" si="82"/>
        <v>-0.19103316013367566</v>
      </c>
      <c r="V727" s="7">
        <f t="shared" si="83"/>
        <v>1.1167445395929854</v>
      </c>
      <c r="AF727" s="7">
        <f t="shared" si="84"/>
        <v>1.2513967846386778</v>
      </c>
    </row>
    <row r="728" spans="1:32" x14ac:dyDescent="0.35">
      <c r="A728" t="s">
        <v>41</v>
      </c>
      <c r="B728">
        <v>1955</v>
      </c>
      <c r="E728" s="7">
        <v>1955.58333333327</v>
      </c>
      <c r="F728" s="1">
        <v>1.0582493303113643</v>
      </c>
      <c r="G728" s="7">
        <v>1955.58333333327</v>
      </c>
      <c r="H728" s="1">
        <v>1.0617715793474576</v>
      </c>
      <c r="I728" s="7">
        <v>1955.58333333327</v>
      </c>
      <c r="J728" s="1">
        <v>1.0201924983005537</v>
      </c>
      <c r="L728" s="1">
        <f t="shared" si="80"/>
        <v>1.0467378026531253</v>
      </c>
      <c r="M728" s="1"/>
      <c r="N728" s="1"/>
      <c r="R728" s="7">
        <f t="shared" si="81"/>
        <v>1.8904083738413537</v>
      </c>
      <c r="S728" s="7">
        <f t="shared" si="85"/>
        <v>0.83602870883328251</v>
      </c>
      <c r="T728" s="7">
        <f t="shared" si="82"/>
        <v>-0.13709935655690939</v>
      </c>
      <c r="V728" s="7">
        <f t="shared" si="83"/>
        <v>0.86311257537257557</v>
      </c>
      <c r="AF728" s="7">
        <f t="shared" si="84"/>
        <v>0.95696352250604477</v>
      </c>
    </row>
    <row r="729" spans="1:32" x14ac:dyDescent="0.35">
      <c r="A729" t="s">
        <v>43</v>
      </c>
      <c r="B729">
        <v>1955</v>
      </c>
      <c r="E729" s="7">
        <v>1955.49999999994</v>
      </c>
      <c r="F729" s="1">
        <v>1.0438914916600064</v>
      </c>
      <c r="G729" s="7">
        <v>1955.49999999994</v>
      </c>
      <c r="H729" s="1">
        <v>1.0335828505642211</v>
      </c>
      <c r="I729" s="7">
        <v>1955.49999999994</v>
      </c>
      <c r="J729" s="1">
        <v>1.0156269253122903</v>
      </c>
      <c r="L729" s="1">
        <f t="shared" si="80"/>
        <v>1.0310337558455058</v>
      </c>
      <c r="M729" s="1"/>
      <c r="N729" s="1"/>
      <c r="R729" s="7">
        <f t="shared" si="81"/>
        <v>1.4481878312420704</v>
      </c>
      <c r="S729" s="7">
        <f t="shared" si="85"/>
        <v>4.6735003515762742E-2</v>
      </c>
      <c r="T729" s="7">
        <f t="shared" si="82"/>
        <v>-0.27977545764493966</v>
      </c>
      <c r="V729" s="7">
        <f t="shared" si="83"/>
        <v>0.40504912570429785</v>
      </c>
      <c r="AF729" s="7">
        <f t="shared" si="84"/>
        <v>0.42985183418307454</v>
      </c>
    </row>
    <row r="730" spans="1:32" x14ac:dyDescent="0.35">
      <c r="A730" t="s">
        <v>44</v>
      </c>
      <c r="B730">
        <v>1955</v>
      </c>
      <c r="E730" s="7">
        <v>1955.4166666665999</v>
      </c>
      <c r="F730" s="1">
        <v>1.0306033935153391</v>
      </c>
      <c r="G730" s="7">
        <v>1955.4166666665999</v>
      </c>
      <c r="H730" s="1">
        <v>1.0136495421691483</v>
      </c>
      <c r="I730" s="7">
        <v>1955.4166666665999</v>
      </c>
      <c r="J730" s="1">
        <v>1.0144807219567513</v>
      </c>
      <c r="L730" s="1">
        <f t="shared" si="80"/>
        <v>1.0195778858804128</v>
      </c>
      <c r="M730" s="1"/>
      <c r="N730" s="1"/>
      <c r="R730" s="7">
        <f t="shared" si="81"/>
        <v>1.0389152300980575</v>
      </c>
      <c r="S730" s="7">
        <f t="shared" si="85"/>
        <v>-0.51140420749187154</v>
      </c>
      <c r="T730" s="7">
        <f t="shared" si="82"/>
        <v>-0.31559480085612257</v>
      </c>
      <c r="V730" s="7">
        <f t="shared" si="83"/>
        <v>7.0638740583354467E-2</v>
      </c>
      <c r="AF730" s="7">
        <f t="shared" si="84"/>
        <v>4.5331650788131929E-2</v>
      </c>
    </row>
    <row r="731" spans="1:32" x14ac:dyDescent="0.35">
      <c r="A731" t="s">
        <v>42</v>
      </c>
      <c r="B731">
        <v>1955</v>
      </c>
      <c r="E731" s="7">
        <v>1955.33333333327</v>
      </c>
      <c r="F731" s="1">
        <v>1.0253575634856045</v>
      </c>
      <c r="G731" s="7">
        <v>1955.33333333327</v>
      </c>
      <c r="H731" s="1">
        <v>0.99847154099352331</v>
      </c>
      <c r="I731" s="7">
        <v>1955.33333333327</v>
      </c>
      <c r="J731" s="1">
        <v>1.0142347117897237</v>
      </c>
      <c r="L731" s="1">
        <f t="shared" si="80"/>
        <v>1.0126879387562837</v>
      </c>
      <c r="M731" s="1"/>
      <c r="N731" s="1"/>
      <c r="R731" s="7">
        <f t="shared" si="81"/>
        <v>0.87734398957478521</v>
      </c>
      <c r="S731" s="7">
        <f t="shared" si="85"/>
        <v>-0.93639324759172116</v>
      </c>
      <c r="T731" s="7">
        <f t="shared" si="82"/>
        <v>-0.32328272339065384</v>
      </c>
      <c r="V731" s="7">
        <f t="shared" si="83"/>
        <v>-0.12744399380252994</v>
      </c>
      <c r="AF731" s="7">
        <f t="shared" si="84"/>
        <v>-0.18593177484643408</v>
      </c>
    </row>
    <row r="732" spans="1:32" x14ac:dyDescent="0.35">
      <c r="A732" t="s">
        <v>40</v>
      </c>
      <c r="B732">
        <v>1955</v>
      </c>
      <c r="E732" s="7">
        <v>1955.24999999993</v>
      </c>
      <c r="F732" s="1">
        <v>1.0133187594623869</v>
      </c>
      <c r="G732" s="7">
        <v>1955.24999999994</v>
      </c>
      <c r="H732" s="1">
        <v>0.9726761150355967</v>
      </c>
      <c r="I732" s="7">
        <v>1955.24999999993</v>
      </c>
      <c r="J732" s="1">
        <v>1.0133442791909797</v>
      </c>
      <c r="L732" s="1">
        <f t="shared" si="80"/>
        <v>0.99977971789632114</v>
      </c>
      <c r="M732" s="1"/>
      <c r="N732" s="1"/>
      <c r="R732" s="7">
        <f t="shared" si="81"/>
        <v>0.50654957011735458</v>
      </c>
      <c r="S732" s="7">
        <f t="shared" si="85"/>
        <v>-1.6586736842563059</v>
      </c>
      <c r="T732" s="7">
        <f t="shared" si="82"/>
        <v>-0.35110912147848689</v>
      </c>
      <c r="V732" s="7">
        <f t="shared" si="83"/>
        <v>-0.50107774520581272</v>
      </c>
      <c r="AF732" s="7">
        <f t="shared" si="84"/>
        <v>-0.61920061147772598</v>
      </c>
    </row>
    <row r="733" spans="1:32" x14ac:dyDescent="0.35">
      <c r="A733" t="s">
        <v>38</v>
      </c>
      <c r="B733">
        <v>1955</v>
      </c>
      <c r="E733" s="7">
        <v>1955.1666666665999</v>
      </c>
      <c r="F733" s="1">
        <v>1.0185876273034362</v>
      </c>
      <c r="G733" s="7">
        <v>1955.1666666665999</v>
      </c>
      <c r="H733" s="1">
        <v>0.96449414892386687</v>
      </c>
      <c r="I733" s="7">
        <v>1955.1666666665999</v>
      </c>
      <c r="J733" s="1">
        <v>1.0109736897544466</v>
      </c>
      <c r="L733" s="1">
        <f t="shared" si="80"/>
        <v>0.99801848866058318</v>
      </c>
      <c r="M733" s="1"/>
      <c r="N733" s="1"/>
      <c r="R733" s="7">
        <f t="shared" si="81"/>
        <v>0.66883037380450128</v>
      </c>
      <c r="S733" s="7">
        <f t="shared" si="85"/>
        <v>-1.8877714345936709</v>
      </c>
      <c r="T733" s="7">
        <f t="shared" si="82"/>
        <v>-0.42519105138180546</v>
      </c>
      <c r="V733" s="7">
        <f t="shared" si="83"/>
        <v>-0.54804403739032503</v>
      </c>
      <c r="AF733" s="7">
        <f t="shared" si="84"/>
        <v>-0.67831687159503373</v>
      </c>
    </row>
    <row r="734" spans="1:32" x14ac:dyDescent="0.35">
      <c r="A734" t="s">
        <v>36</v>
      </c>
      <c r="B734">
        <v>1955</v>
      </c>
      <c r="E734" s="7">
        <v>1955.08333333327</v>
      </c>
      <c r="F734" s="1">
        <v>1.0300488393189573</v>
      </c>
      <c r="G734" s="7">
        <v>1955.08333333327</v>
      </c>
      <c r="H734" s="1">
        <v>1.0092172769276027</v>
      </c>
      <c r="I734" s="7">
        <v>1955.08333333327</v>
      </c>
      <c r="J734" s="1">
        <v>1.0502747216383532</v>
      </c>
      <c r="L734" s="1">
        <f t="shared" si="80"/>
        <v>1.0298469459616377</v>
      </c>
      <c r="M734" s="1"/>
      <c r="N734" s="1"/>
      <c r="R734" s="7">
        <f t="shared" si="81"/>
        <v>1.0218349951421164</v>
      </c>
      <c r="S734" s="7">
        <f t="shared" si="85"/>
        <v>-0.63550909644770182</v>
      </c>
      <c r="T734" s="7">
        <f t="shared" si="82"/>
        <v>0.80298293956012301</v>
      </c>
      <c r="V734" s="7">
        <f t="shared" si="83"/>
        <v>0.39643627941817922</v>
      </c>
      <c r="AF734" s="7">
        <f t="shared" si="84"/>
        <v>0.39001615556674651</v>
      </c>
    </row>
    <row r="735" spans="1:32" x14ac:dyDescent="0.35">
      <c r="A735" t="s">
        <v>34</v>
      </c>
      <c r="B735">
        <v>1955</v>
      </c>
      <c r="E735" s="7">
        <v>1954.99999999993</v>
      </c>
      <c r="F735" s="1">
        <v>1.0756476189316857</v>
      </c>
      <c r="G735" s="7">
        <v>1954.99999999994</v>
      </c>
      <c r="H735" s="1">
        <v>1.0618833324012984</v>
      </c>
      <c r="I735" s="7">
        <v>1954.99999999993</v>
      </c>
      <c r="J735" s="1">
        <v>1.0786236575341961</v>
      </c>
      <c r="L735" s="1">
        <f t="shared" si="80"/>
        <v>1.0720515362890601</v>
      </c>
      <c r="M735" s="1"/>
      <c r="N735" s="1"/>
      <c r="R735" s="7">
        <f t="shared" si="81"/>
        <v>2.4262745874688378</v>
      </c>
      <c r="S735" s="7">
        <f t="shared" si="85"/>
        <v>0.83915783120786147</v>
      </c>
      <c r="T735" s="7">
        <f t="shared" si="82"/>
        <v>1.6888992646327881</v>
      </c>
      <c r="V735" s="7">
        <f t="shared" si="83"/>
        <v>1.6514438944364958</v>
      </c>
      <c r="AF735" s="7">
        <f t="shared" si="84"/>
        <v>1.8066276274373636</v>
      </c>
    </row>
    <row r="736" spans="1:32" x14ac:dyDescent="0.35">
      <c r="A736" t="s">
        <v>33</v>
      </c>
      <c r="B736">
        <v>1954</v>
      </c>
      <c r="E736" s="7">
        <v>1954.9166666665999</v>
      </c>
      <c r="F736">
        <v>1.0940227626508829</v>
      </c>
      <c r="G736" s="7">
        <v>1954.9166666665999</v>
      </c>
      <c r="H736" s="1">
        <v>1.0874219852290432</v>
      </c>
      <c r="I736" s="7">
        <v>1954.9166666665999</v>
      </c>
      <c r="J736" s="1">
        <v>1.0814086466826192</v>
      </c>
      <c r="L736" s="1">
        <f t="shared" si="80"/>
        <v>1.087617798187515</v>
      </c>
      <c r="M736" s="1"/>
      <c r="N736" s="1"/>
      <c r="R736" s="7">
        <f t="shared" si="81"/>
        <v>2.9922278777347602</v>
      </c>
      <c r="S736" s="7">
        <f t="shared" si="85"/>
        <v>1.5542485355185809</v>
      </c>
      <c r="T736" s="7">
        <f t="shared" si="82"/>
        <v>1.7759313620915156</v>
      </c>
      <c r="V736" s="7">
        <f t="shared" si="83"/>
        <v>2.1074692584482855</v>
      </c>
      <c r="AF736" s="7">
        <f t="shared" si="84"/>
        <v>2.3291145182807478</v>
      </c>
    </row>
    <row r="737" spans="1:32" x14ac:dyDescent="0.35">
      <c r="A737" t="s">
        <v>35</v>
      </c>
      <c r="B737">
        <v>1954</v>
      </c>
      <c r="E737" s="7">
        <v>1954.83333333327</v>
      </c>
      <c r="F737">
        <v>1.0978657220562651</v>
      </c>
      <c r="G737" s="7">
        <v>1954.83333333327</v>
      </c>
      <c r="H737" s="1">
        <v>1.0642205601856816</v>
      </c>
      <c r="I737" s="7">
        <v>1954.83333333327</v>
      </c>
      <c r="J737" s="1">
        <v>1.073426017612424</v>
      </c>
      <c r="L737" s="1">
        <f t="shared" si="80"/>
        <v>1.0785040999514568</v>
      </c>
      <c r="M737" s="1"/>
      <c r="N737" s="1"/>
      <c r="R737" s="7">
        <f t="shared" si="81"/>
        <v>3.110590789778934</v>
      </c>
      <c r="S737" s="7">
        <f t="shared" si="85"/>
        <v>0.90460098021584023</v>
      </c>
      <c r="T737" s="7">
        <f t="shared" si="82"/>
        <v>1.5264708025746203</v>
      </c>
      <c r="V737" s="7">
        <f t="shared" si="83"/>
        <v>1.8472208575231317</v>
      </c>
      <c r="AF737" s="7">
        <f t="shared" si="84"/>
        <v>2.0232101279713723</v>
      </c>
    </row>
    <row r="738" spans="1:32" x14ac:dyDescent="0.35">
      <c r="A738" t="s">
        <v>37</v>
      </c>
      <c r="B738">
        <v>1954</v>
      </c>
      <c r="E738" s="7">
        <v>1954.74999999994</v>
      </c>
      <c r="F738">
        <v>1.0919530979142071</v>
      </c>
      <c r="G738" s="7">
        <v>1954.74999999994</v>
      </c>
      <c r="H738" s="1">
        <v>1.057967170088383</v>
      </c>
      <c r="I738" s="7">
        <v>1954.74999999993</v>
      </c>
      <c r="J738" s="1">
        <v>1.0548152371621113</v>
      </c>
      <c r="L738" s="1">
        <f t="shared" si="80"/>
        <v>1.0682451683882339</v>
      </c>
      <c r="M738" s="1"/>
      <c r="N738" s="1"/>
      <c r="R738" s="7">
        <f t="shared" si="81"/>
        <v>2.9284823318294357</v>
      </c>
      <c r="S738" s="7">
        <f t="shared" si="85"/>
        <v>0.72950399451466619</v>
      </c>
      <c r="T738" s="7">
        <f t="shared" si="82"/>
        <v>0.9448759842063964</v>
      </c>
      <c r="V738" s="7">
        <f t="shared" si="83"/>
        <v>1.534287436850166</v>
      </c>
      <c r="AF738" s="7">
        <f t="shared" si="84"/>
        <v>1.6788655903547061</v>
      </c>
    </row>
    <row r="739" spans="1:32" x14ac:dyDescent="0.35">
      <c r="A739" t="s">
        <v>39</v>
      </c>
      <c r="B739">
        <v>1954</v>
      </c>
      <c r="E739" s="7">
        <v>1954.6666666665999</v>
      </c>
      <c r="F739">
        <v>1.0773932546752543</v>
      </c>
      <c r="G739" s="7">
        <v>1954.6666666665999</v>
      </c>
      <c r="H739" s="1">
        <v>1.0557863227285331</v>
      </c>
      <c r="I739" s="7">
        <v>1954.6666666665999</v>
      </c>
      <c r="J739" s="1">
        <v>1.0442876390848559</v>
      </c>
      <c r="L739" s="1">
        <f t="shared" si="80"/>
        <v>1.0591557388295476</v>
      </c>
      <c r="M739" s="1"/>
      <c r="N739" s="1"/>
      <c r="R739" s="7">
        <f t="shared" si="81"/>
        <v>2.4800400604238213</v>
      </c>
      <c r="S739" s="7">
        <f t="shared" si="85"/>
        <v>0.66843954898310598</v>
      </c>
      <c r="T739" s="7">
        <f t="shared" si="82"/>
        <v>0.61588405891117337</v>
      </c>
      <c r="V739" s="7">
        <f t="shared" si="83"/>
        <v>1.2547878894393669</v>
      </c>
      <c r="AF739" s="7">
        <f t="shared" si="84"/>
        <v>1.3737757864802542</v>
      </c>
    </row>
    <row r="740" spans="1:32" x14ac:dyDescent="0.35">
      <c r="A740" t="s">
        <v>41</v>
      </c>
      <c r="B740">
        <v>1954</v>
      </c>
      <c r="E740" s="7">
        <v>1954.58333333327</v>
      </c>
      <c r="F740">
        <v>1.0730119082025187</v>
      </c>
      <c r="G740" s="7">
        <v>1954.58333333327</v>
      </c>
      <c r="H740" s="1">
        <v>1.0316011408206907</v>
      </c>
      <c r="I740" s="7">
        <v>1954.58333333327</v>
      </c>
      <c r="J740" s="1">
        <v>1.035493633926996</v>
      </c>
      <c r="L740" s="1">
        <f t="shared" si="80"/>
        <v>1.0467022276500684</v>
      </c>
      <c r="M740" s="1"/>
      <c r="N740" s="1"/>
      <c r="R740" s="7">
        <f t="shared" si="81"/>
        <v>2.345094859998035</v>
      </c>
      <c r="S740" s="7">
        <f t="shared" si="85"/>
        <v>-8.7535230638793784E-3</v>
      </c>
      <c r="T740" s="7">
        <f t="shared" si="82"/>
        <v>0.34106765096043468</v>
      </c>
      <c r="V740" s="7">
        <f t="shared" si="83"/>
        <v>0.89246966263153016</v>
      </c>
      <c r="AF740" s="7">
        <f t="shared" si="84"/>
        <v>0.95576943539250236</v>
      </c>
    </row>
    <row r="741" spans="1:32" x14ac:dyDescent="0.35">
      <c r="A741" t="s">
        <v>43</v>
      </c>
      <c r="B741">
        <v>1954</v>
      </c>
      <c r="E741" s="7">
        <v>1954.49999999994</v>
      </c>
      <c r="F741">
        <v>1.0651266440594438</v>
      </c>
      <c r="G741" s="7">
        <v>1954.49999999994</v>
      </c>
      <c r="H741" s="1">
        <v>1.0014864849682159</v>
      </c>
      <c r="I741" s="7">
        <v>1954.49999999993</v>
      </c>
      <c r="J741" s="1">
        <v>1.0228651442570931</v>
      </c>
      <c r="L741" s="1">
        <f t="shared" si="80"/>
        <v>1.0298260910949175</v>
      </c>
      <c r="M741" s="1"/>
      <c r="N741" s="1"/>
      <c r="R741" s="7">
        <f t="shared" si="81"/>
        <v>2.1022292120016726</v>
      </c>
      <c r="S741" s="7">
        <f t="shared" si="85"/>
        <v>-0.85197382167830382</v>
      </c>
      <c r="T741" s="7">
        <f t="shared" si="82"/>
        <v>-5.3578031709408086E-2</v>
      </c>
      <c r="V741" s="7">
        <f t="shared" si="83"/>
        <v>0.39889245287132025</v>
      </c>
      <c r="AF741" s="7">
        <f t="shared" si="84"/>
        <v>0.38931615485092425</v>
      </c>
    </row>
    <row r="742" spans="1:32" x14ac:dyDescent="0.35">
      <c r="A742" t="s">
        <v>44</v>
      </c>
      <c r="B742">
        <v>1954</v>
      </c>
      <c r="E742" s="7">
        <v>1954.4166666665999</v>
      </c>
      <c r="F742">
        <v>1.0587269338069691</v>
      </c>
      <c r="G742" s="7">
        <v>1954.4166666665999</v>
      </c>
      <c r="H742" s="1">
        <v>1.0070407229114662</v>
      </c>
      <c r="I742" s="7">
        <v>1954.4166666665999</v>
      </c>
      <c r="J742" s="1">
        <v>1.0158009839205058</v>
      </c>
      <c r="L742" s="1">
        <f t="shared" si="80"/>
        <v>1.027189546879647</v>
      </c>
      <c r="M742" s="1"/>
      <c r="N742" s="1"/>
      <c r="R742" s="7">
        <f t="shared" si="81"/>
        <v>1.9051185319718555</v>
      </c>
      <c r="S742" s="7">
        <f t="shared" si="85"/>
        <v>-0.69645332693892303</v>
      </c>
      <c r="T742" s="7">
        <f t="shared" si="82"/>
        <v>-0.27433605197891747</v>
      </c>
      <c r="V742" s="7">
        <f t="shared" si="83"/>
        <v>0.31144305101800501</v>
      </c>
      <c r="AF742" s="7">
        <f t="shared" si="84"/>
        <v>0.30081964884362627</v>
      </c>
    </row>
    <row r="743" spans="1:32" x14ac:dyDescent="0.35">
      <c r="A743" t="s">
        <v>42</v>
      </c>
      <c r="B743">
        <v>1954</v>
      </c>
      <c r="E743" s="7">
        <v>1954.33333333327</v>
      </c>
      <c r="F743">
        <v>1.0381357208531301</v>
      </c>
      <c r="G743" s="7">
        <v>1954.33333333327</v>
      </c>
      <c r="H743" s="1">
        <v>1.0059456111634266</v>
      </c>
      <c r="I743" s="7">
        <v>1954.33333333327</v>
      </c>
      <c r="J743" s="1">
        <v>1.0145999868062283</v>
      </c>
      <c r="L743" s="1">
        <f t="shared" si="80"/>
        <v>1.019560439607595</v>
      </c>
      <c r="M743" s="1"/>
      <c r="N743" s="1"/>
      <c r="R743" s="7">
        <f t="shared" si="81"/>
        <v>1.2709104463166434</v>
      </c>
      <c r="S743" s="7">
        <f t="shared" si="85"/>
        <v>-0.72711681715849319</v>
      </c>
      <c r="T743" s="7">
        <f t="shared" si="82"/>
        <v>-0.311867723496069</v>
      </c>
      <c r="V743" s="7">
        <f t="shared" si="83"/>
        <v>7.7308635220693742E-2</v>
      </c>
      <c r="AF743" s="7">
        <f t="shared" si="84"/>
        <v>4.4746060689442028E-2</v>
      </c>
    </row>
    <row r="744" spans="1:32" x14ac:dyDescent="0.35">
      <c r="A744" t="s">
        <v>40</v>
      </c>
      <c r="B744">
        <v>1954</v>
      </c>
      <c r="E744" s="7">
        <v>1954.24999999993</v>
      </c>
      <c r="F744">
        <v>1.0181514672405481</v>
      </c>
      <c r="G744" s="7">
        <v>1954.24999999993</v>
      </c>
      <c r="H744" s="1">
        <v>0.98242341117832255</v>
      </c>
      <c r="I744" s="7">
        <v>1954.24999999993</v>
      </c>
      <c r="J744" s="1">
        <v>1.001594692583482</v>
      </c>
      <c r="L744" s="1">
        <f t="shared" si="80"/>
        <v>1.0007231903341174</v>
      </c>
      <c r="M744" s="1"/>
      <c r="N744" s="1"/>
      <c r="R744" s="7">
        <f t="shared" si="81"/>
        <v>0.65539667083888831</v>
      </c>
      <c r="S744" s="7">
        <f t="shared" si="85"/>
        <v>-1.3857461766528247</v>
      </c>
      <c r="T744" s="7">
        <f t="shared" si="82"/>
        <v>-0.71828870898334907</v>
      </c>
      <c r="V744" s="7">
        <f t="shared" si="83"/>
        <v>-0.48287940493242854</v>
      </c>
      <c r="AF744" s="7">
        <f t="shared" si="84"/>
        <v>-0.58753263725011018</v>
      </c>
    </row>
    <row r="745" spans="1:32" x14ac:dyDescent="0.35">
      <c r="A745" t="s">
        <v>38</v>
      </c>
      <c r="B745">
        <v>1954</v>
      </c>
      <c r="E745" s="7">
        <v>1954.1666666665999</v>
      </c>
      <c r="F745">
        <v>1.0177838995747126</v>
      </c>
      <c r="G745" s="7">
        <v>1954.1666666665999</v>
      </c>
      <c r="H745" s="1">
        <v>0.98821272487972045</v>
      </c>
      <c r="I745" s="7">
        <v>1954.1666666665999</v>
      </c>
      <c r="J745" s="1">
        <v>1.001165606113567</v>
      </c>
      <c r="L745" s="1">
        <f t="shared" si="80"/>
        <v>1.0023874101893335</v>
      </c>
      <c r="M745" s="1"/>
      <c r="N745" s="1"/>
      <c r="R745" s="7">
        <f t="shared" si="81"/>
        <v>0.64407560946086995</v>
      </c>
      <c r="S745" s="7">
        <f t="shared" si="85"/>
        <v>-1.2236434831344409</v>
      </c>
      <c r="T745" s="7">
        <f t="shared" si="82"/>
        <v>-0.73169784398447124</v>
      </c>
      <c r="V745" s="7">
        <f t="shared" si="83"/>
        <v>-0.43708857255268074</v>
      </c>
      <c r="AF745" s="7">
        <f t="shared" si="84"/>
        <v>-0.53167253008346793</v>
      </c>
    </row>
    <row r="746" spans="1:32" x14ac:dyDescent="0.35">
      <c r="A746" t="s">
        <v>36</v>
      </c>
      <c r="B746">
        <v>1954</v>
      </c>
      <c r="E746" s="7">
        <v>1954.08333333327</v>
      </c>
      <c r="F746">
        <v>1.0232277022646348</v>
      </c>
      <c r="G746" s="7">
        <v>1954.08333333327</v>
      </c>
      <c r="H746" s="1">
        <v>1.0042242214451751</v>
      </c>
      <c r="I746" s="7">
        <v>1954.08333333327</v>
      </c>
      <c r="J746" s="1">
        <v>1.0119910809562183</v>
      </c>
      <c r="L746" s="1">
        <f t="shared" si="80"/>
        <v>1.0131476682220095</v>
      </c>
      <c r="M746" s="1"/>
      <c r="N746" s="1"/>
      <c r="R746" s="7">
        <f t="shared" si="81"/>
        <v>0.81174439567564949</v>
      </c>
      <c r="S746" s="7">
        <f t="shared" si="85"/>
        <v>-0.77531629715144068</v>
      </c>
      <c r="T746" s="7">
        <f t="shared" si="82"/>
        <v>-0.39339714285746441</v>
      </c>
      <c r="V746" s="7">
        <f t="shared" si="83"/>
        <v>-0.11898968144441853</v>
      </c>
      <c r="AF746" s="7">
        <f t="shared" si="84"/>
        <v>-0.17050079849879779</v>
      </c>
    </row>
    <row r="747" spans="1:32" x14ac:dyDescent="0.35">
      <c r="A747" t="s">
        <v>34</v>
      </c>
      <c r="B747">
        <v>1954</v>
      </c>
      <c r="E747" s="7">
        <v>1953.99999999993</v>
      </c>
      <c r="F747">
        <v>1.0272324517434128</v>
      </c>
      <c r="G747" s="7">
        <v>1953.99999999993</v>
      </c>
      <c r="H747" s="1">
        <v>1.0536623061460257</v>
      </c>
      <c r="I747" s="7">
        <v>1953.99999999993</v>
      </c>
      <c r="J747" s="1">
        <v>1.0379560459016757</v>
      </c>
      <c r="L747" s="1">
        <f t="shared" si="80"/>
        <v>1.0396169345970381</v>
      </c>
      <c r="M747" s="1"/>
      <c r="N747" s="1"/>
      <c r="R747" s="7">
        <f t="shared" si="81"/>
        <v>0.93509043197561426</v>
      </c>
      <c r="S747" s="7">
        <f t="shared" si="85"/>
        <v>0.60896638396545955</v>
      </c>
      <c r="T747" s="7">
        <f t="shared" si="82"/>
        <v>0.41801907430267848</v>
      </c>
      <c r="V747" s="7">
        <f t="shared" si="83"/>
        <v>0.65402529674791732</v>
      </c>
      <c r="AF747" s="7">
        <f t="shared" si="84"/>
        <v>0.71794915701471884</v>
      </c>
    </row>
    <row r="748" spans="1:32" x14ac:dyDescent="0.35">
      <c r="A748" t="s">
        <v>33</v>
      </c>
      <c r="B748">
        <v>1953</v>
      </c>
      <c r="G748" s="7">
        <v>1953.9166666665999</v>
      </c>
      <c r="H748" s="1">
        <v>1.0805987274789199</v>
      </c>
      <c r="I748" s="7">
        <v>1953.9166666665999</v>
      </c>
      <c r="J748" s="1">
        <v>1.0460713018645489</v>
      </c>
      <c r="L748" s="1">
        <f t="shared" si="80"/>
        <v>1.0633350146717344</v>
      </c>
      <c r="M748" s="1"/>
      <c r="N748" s="1"/>
      <c r="S748" s="7">
        <f>STANDARDIZE(H748, AVERAGE($H$4:$H$891), _xlfn.STDEV.P($H$4:$H$891))</f>
        <v>1.3631950675404862</v>
      </c>
      <c r="T748" s="7">
        <f t="shared" si="82"/>
        <v>0.67162428072268177</v>
      </c>
      <c r="V748" s="7">
        <f t="shared" si="83"/>
        <v>1.0174096741315841</v>
      </c>
      <c r="AF748" s="7">
        <f t="shared" si="84"/>
        <v>1.5140546058272288</v>
      </c>
    </row>
    <row r="749" spans="1:32" x14ac:dyDescent="0.35">
      <c r="A749" t="s">
        <v>35</v>
      </c>
      <c r="B749">
        <v>1953</v>
      </c>
      <c r="G749" s="7">
        <v>1953.83333333327</v>
      </c>
      <c r="H749" s="1">
        <v>1.0782339721718204</v>
      </c>
      <c r="I749" s="7">
        <v>1953.83333333327</v>
      </c>
      <c r="J749" s="1">
        <v>1.0439314702539213</v>
      </c>
      <c r="L749" s="1">
        <f t="shared" si="80"/>
        <v>1.0610827212128708</v>
      </c>
      <c r="M749" s="1"/>
      <c r="N749" s="1"/>
      <c r="S749" s="7">
        <f t="shared" ref="S749:S812" si="86">STANDARDIZE(H749, AVERAGE($H$4:$H$891), _xlfn.STDEV.P($H$4:$H$891))</f>
        <v>1.2969811388151915</v>
      </c>
      <c r="T749" s="7">
        <f t="shared" si="82"/>
        <v>0.60475363119542724</v>
      </c>
      <c r="V749" s="7">
        <f t="shared" si="83"/>
        <v>0.95086738500530932</v>
      </c>
      <c r="AF749" s="7">
        <f t="shared" si="84"/>
        <v>1.4384556075407275</v>
      </c>
    </row>
    <row r="750" spans="1:32" x14ac:dyDescent="0.35">
      <c r="A750" t="s">
        <v>37</v>
      </c>
      <c r="B750">
        <v>1953</v>
      </c>
      <c r="G750" s="7">
        <v>1953.74999999993</v>
      </c>
      <c r="H750" s="1">
        <v>1.0572605554166292</v>
      </c>
      <c r="I750" s="7">
        <v>1953.74999999993</v>
      </c>
      <c r="J750" s="1">
        <v>1.0376543025787188</v>
      </c>
      <c r="L750" s="1">
        <f t="shared" si="80"/>
        <v>1.0474574289976739</v>
      </c>
      <c r="M750" s="1"/>
      <c r="N750" s="1"/>
      <c r="S750" s="7">
        <f t="shared" si="86"/>
        <v>0.70971855059525246</v>
      </c>
      <c r="T750" s="7">
        <f t="shared" si="82"/>
        <v>0.40858946689973025</v>
      </c>
      <c r="V750" s="7">
        <f t="shared" si="83"/>
        <v>0.55915400874749133</v>
      </c>
      <c r="AF750" s="7">
        <f t="shared" si="84"/>
        <v>0.98111802625170652</v>
      </c>
    </row>
    <row r="751" spans="1:32" x14ac:dyDescent="0.35">
      <c r="A751" t="s">
        <v>39</v>
      </c>
      <c r="B751">
        <v>1953</v>
      </c>
      <c r="G751" s="7">
        <v>1953.6666666665999</v>
      </c>
      <c r="H751" s="1">
        <v>1.0216152917934942</v>
      </c>
      <c r="I751" s="7">
        <v>1953.6666666665999</v>
      </c>
      <c r="J751" s="1">
        <v>1.0386727702583221</v>
      </c>
      <c r="L751" s="1">
        <f t="shared" si="80"/>
        <v>1.030144031025908</v>
      </c>
      <c r="M751" s="1"/>
      <c r="N751" s="1"/>
      <c r="S751" s="7">
        <f t="shared" si="86"/>
        <v>-0.28836059013050175</v>
      </c>
      <c r="T751" s="7">
        <f t="shared" si="82"/>
        <v>0.44041701581495035</v>
      </c>
      <c r="V751" s="7">
        <f t="shared" si="83"/>
        <v>7.6028212842224302E-2</v>
      </c>
      <c r="AF751" s="7">
        <f t="shared" si="84"/>
        <v>0.39998791709556908</v>
      </c>
    </row>
    <row r="752" spans="1:32" x14ac:dyDescent="0.35">
      <c r="A752" t="s">
        <v>41</v>
      </c>
      <c r="B752">
        <v>1953</v>
      </c>
      <c r="G752" s="7">
        <v>1953.58333333327</v>
      </c>
      <c r="H752" s="1">
        <v>1.0067214841375731</v>
      </c>
      <c r="I752" s="7">
        <v>1953.58333333327</v>
      </c>
      <c r="J752" s="1">
        <v>1.0255879701768726</v>
      </c>
      <c r="L752" s="1">
        <f t="shared" si="80"/>
        <v>1.0161547271572229</v>
      </c>
      <c r="M752" s="1"/>
      <c r="N752" s="1"/>
      <c r="S752" s="7">
        <f t="shared" si="86"/>
        <v>-0.70539211792395395</v>
      </c>
      <c r="T752" s="7">
        <f t="shared" si="82"/>
        <v>3.1511438368988912E-2</v>
      </c>
      <c r="V752" s="7">
        <f t="shared" si="83"/>
        <v>-0.3369403397774825</v>
      </c>
      <c r="AF752" s="7">
        <f t="shared" si="84"/>
        <v>-6.9567839520483524E-2</v>
      </c>
    </row>
    <row r="753" spans="1:32" x14ac:dyDescent="0.35">
      <c r="A753" t="s">
        <v>43</v>
      </c>
      <c r="B753">
        <v>1953</v>
      </c>
      <c r="G753" s="7">
        <v>1953.49999999993</v>
      </c>
      <c r="H753" s="1">
        <v>1.0073803067131961</v>
      </c>
      <c r="I753" s="7">
        <v>1953.49999999993</v>
      </c>
      <c r="J753" s="1">
        <v>1.0039920171211671</v>
      </c>
      <c r="L753" s="1">
        <f t="shared" si="80"/>
        <v>1.0056861619171817</v>
      </c>
      <c r="M753" s="1"/>
      <c r="N753" s="1"/>
      <c r="S753" s="7">
        <f t="shared" si="86"/>
        <v>-0.68694486846268887</v>
      </c>
      <c r="T753" s="7">
        <f t="shared" si="82"/>
        <v>-0.64337129577829122</v>
      </c>
      <c r="V753" s="7">
        <f t="shared" si="83"/>
        <v>-0.6651580821204901</v>
      </c>
      <c r="AF753" s="7">
        <f t="shared" si="84"/>
        <v>-0.42094880301327559</v>
      </c>
    </row>
    <row r="754" spans="1:32" x14ac:dyDescent="0.35">
      <c r="A754" t="s">
        <v>44</v>
      </c>
      <c r="B754">
        <v>1953</v>
      </c>
      <c r="G754" s="7">
        <v>1953.4166666665999</v>
      </c>
      <c r="H754" s="1">
        <v>1.0220387432071723</v>
      </c>
      <c r="I754" s="7">
        <v>1953.4166666665999</v>
      </c>
      <c r="J754" s="1">
        <v>0.99723239625246252</v>
      </c>
      <c r="L754" s="1">
        <f t="shared" si="80"/>
        <v>1.0096355697298174</v>
      </c>
      <c r="M754" s="1"/>
      <c r="N754" s="1"/>
      <c r="S754" s="7">
        <f t="shared" si="86"/>
        <v>-0.27650381085201736</v>
      </c>
      <c r="T754" s="7">
        <f t="shared" si="82"/>
        <v>-0.85461232792459685</v>
      </c>
      <c r="V754" s="7">
        <f t="shared" si="83"/>
        <v>-0.56555806938830711</v>
      </c>
      <c r="AF754" s="7">
        <f t="shared" si="84"/>
        <v>-0.28838558249458501</v>
      </c>
    </row>
    <row r="755" spans="1:32" x14ac:dyDescent="0.35">
      <c r="A755" t="s">
        <v>42</v>
      </c>
      <c r="B755">
        <v>1953</v>
      </c>
      <c r="G755" s="7">
        <v>1953.33333333327</v>
      </c>
      <c r="H755" s="1">
        <v>1.0293305907497394</v>
      </c>
      <c r="I755" s="7">
        <v>1953.33333333326</v>
      </c>
      <c r="J755" s="1">
        <v>0.98777200905229012</v>
      </c>
      <c r="L755" s="1">
        <f t="shared" si="80"/>
        <v>1.0085512999010149</v>
      </c>
      <c r="M755" s="1"/>
      <c r="N755" s="1"/>
      <c r="S755" s="7">
        <f t="shared" si="86"/>
        <v>-7.2329674098962904E-2</v>
      </c>
      <c r="T755" s="7">
        <f t="shared" si="82"/>
        <v>-1.150253458615863</v>
      </c>
      <c r="V755" s="7">
        <f t="shared" si="83"/>
        <v>-0.611291566357413</v>
      </c>
      <c r="AF755" s="7">
        <f t="shared" si="84"/>
        <v>-0.3247794691824698</v>
      </c>
    </row>
    <row r="756" spans="1:32" x14ac:dyDescent="0.35">
      <c r="A756" t="s">
        <v>40</v>
      </c>
      <c r="B756">
        <v>1953</v>
      </c>
      <c r="G756" s="7">
        <v>1953.24999999993</v>
      </c>
      <c r="H756" s="1">
        <v>1.0157473019817722</v>
      </c>
      <c r="I756" s="7">
        <v>1953.24999999993</v>
      </c>
      <c r="J756" s="1">
        <v>0.98731809357899869</v>
      </c>
      <c r="L756" s="1">
        <f t="shared" si="80"/>
        <v>1.0015326977803856</v>
      </c>
      <c r="M756" s="1"/>
      <c r="N756" s="1"/>
      <c r="S756" s="7">
        <f t="shared" si="86"/>
        <v>-0.4526662406930001</v>
      </c>
      <c r="T756" s="7">
        <f t="shared" si="82"/>
        <v>-1.1644385105511257</v>
      </c>
      <c r="V756" s="7">
        <f t="shared" si="83"/>
        <v>-0.80855237562206295</v>
      </c>
      <c r="AF756" s="7">
        <f t="shared" si="84"/>
        <v>-0.56036124366349638</v>
      </c>
    </row>
    <row r="757" spans="1:32" x14ac:dyDescent="0.35">
      <c r="A757" t="s">
        <v>38</v>
      </c>
      <c r="B757">
        <v>1953</v>
      </c>
      <c r="G757" s="7">
        <v>1953.1666666665999</v>
      </c>
      <c r="H757" s="1">
        <v>1.0229807348986295</v>
      </c>
      <c r="I757" s="7">
        <v>1953.1666666665999</v>
      </c>
      <c r="J757" s="1">
        <v>0.98911744171357385</v>
      </c>
      <c r="L757" s="1">
        <f t="shared" si="80"/>
        <v>1.0060490883061017</v>
      </c>
      <c r="M757" s="1"/>
      <c r="N757" s="1"/>
      <c r="S757" s="7">
        <f t="shared" si="86"/>
        <v>-0.25012773273065242</v>
      </c>
      <c r="T757" s="7">
        <f t="shared" si="82"/>
        <v>-1.1082081147166585</v>
      </c>
      <c r="V757" s="7">
        <f t="shared" si="83"/>
        <v>-0.67916792372365542</v>
      </c>
      <c r="AF757" s="7">
        <f t="shared" si="84"/>
        <v>-0.40876705496169963</v>
      </c>
    </row>
    <row r="758" spans="1:32" x14ac:dyDescent="0.35">
      <c r="A758" t="s">
        <v>36</v>
      </c>
      <c r="B758">
        <v>1953</v>
      </c>
      <c r="G758" s="7">
        <v>1953.08333333327</v>
      </c>
      <c r="H758" s="1">
        <v>1.0195824298911604</v>
      </c>
      <c r="I758" s="7">
        <v>1953.08333333326</v>
      </c>
      <c r="J758" s="1">
        <v>1.0028702033654544</v>
      </c>
      <c r="L758" s="1">
        <f t="shared" si="80"/>
        <v>1.0112263166283073</v>
      </c>
      <c r="M758" s="1"/>
      <c r="N758" s="1"/>
      <c r="S758" s="7">
        <f t="shared" si="86"/>
        <v>-0.34528139403159946</v>
      </c>
      <c r="T758" s="7">
        <f t="shared" si="82"/>
        <v>-0.67842845360348958</v>
      </c>
      <c r="V758" s="7">
        <f t="shared" si="83"/>
        <v>-0.51185492381754449</v>
      </c>
      <c r="AF758" s="7">
        <f t="shared" si="84"/>
        <v>-0.2349916201847734</v>
      </c>
    </row>
    <row r="759" spans="1:32" x14ac:dyDescent="0.35">
      <c r="A759" t="s">
        <v>34</v>
      </c>
      <c r="B759">
        <v>1953</v>
      </c>
      <c r="G759" s="7">
        <v>1952.99999999993</v>
      </c>
      <c r="H759" s="1">
        <v>1.0735410016737146</v>
      </c>
      <c r="I759" s="7">
        <v>1952.99999999993</v>
      </c>
      <c r="J759" s="1">
        <v>1.0488590331959211</v>
      </c>
      <c r="L759" s="1">
        <f t="shared" si="80"/>
        <v>1.061200017434818</v>
      </c>
      <c r="M759" s="1"/>
      <c r="N759" s="1"/>
      <c r="S759" s="7">
        <f t="shared" si="86"/>
        <v>1.1655764166697031</v>
      </c>
      <c r="T759" s="7">
        <f t="shared" si="82"/>
        <v>0.75874207256690285</v>
      </c>
      <c r="V759" s="7">
        <f t="shared" si="83"/>
        <v>0.96215924461830293</v>
      </c>
      <c r="AF759" s="7">
        <f t="shared" si="84"/>
        <v>1.4423926952444175</v>
      </c>
    </row>
    <row r="760" spans="1:32" x14ac:dyDescent="0.35">
      <c r="A760" t="s">
        <v>33</v>
      </c>
      <c r="B760">
        <v>1952</v>
      </c>
      <c r="G760" s="7">
        <v>1952.9166666665999</v>
      </c>
      <c r="H760" s="1">
        <v>1.0904193408245701</v>
      </c>
      <c r="I760" s="7">
        <v>1952.9166666665999</v>
      </c>
      <c r="J760" s="1">
        <v>1.0682845963186978</v>
      </c>
      <c r="L760" s="1">
        <f t="shared" si="80"/>
        <v>1.079351968571634</v>
      </c>
      <c r="M760" s="1"/>
      <c r="N760" s="1"/>
      <c r="S760" s="7">
        <f t="shared" si="86"/>
        <v>1.6381754810130003</v>
      </c>
      <c r="T760" s="7">
        <f t="shared" si="82"/>
        <v>1.3657991965953571</v>
      </c>
      <c r="V760" s="7">
        <f t="shared" si="83"/>
        <v>1.5019873388041787</v>
      </c>
      <c r="AF760" s="7">
        <f t="shared" si="84"/>
        <v>2.0516691274466421</v>
      </c>
    </row>
    <row r="761" spans="1:32" x14ac:dyDescent="0.35">
      <c r="A761" t="s">
        <v>35</v>
      </c>
      <c r="B761">
        <v>1952</v>
      </c>
      <c r="G761" s="7">
        <v>1952.83333333327</v>
      </c>
      <c r="H761" s="1">
        <v>1.0831233458704437</v>
      </c>
      <c r="I761" s="7">
        <v>1952.83333333326</v>
      </c>
      <c r="J761" s="1">
        <v>1.0626940130639275</v>
      </c>
      <c r="L761" s="1">
        <f t="shared" si="80"/>
        <v>1.0729086794671856</v>
      </c>
      <c r="M761" s="1"/>
      <c r="N761" s="1"/>
      <c r="S761" s="7">
        <f t="shared" si="86"/>
        <v>1.4338852153680655</v>
      </c>
      <c r="T761" s="7">
        <f t="shared" si="82"/>
        <v>1.1910910879638399</v>
      </c>
      <c r="V761" s="7">
        <f t="shared" si="83"/>
        <v>1.3124881516659528</v>
      </c>
      <c r="AF761" s="7">
        <f t="shared" si="84"/>
        <v>1.8353979306140591</v>
      </c>
    </row>
    <row r="762" spans="1:32" x14ac:dyDescent="0.35">
      <c r="A762" t="s">
        <v>37</v>
      </c>
      <c r="B762">
        <v>1952</v>
      </c>
      <c r="G762" s="7">
        <v>1952.74999999993</v>
      </c>
      <c r="H762" s="1">
        <v>1.078961765182076</v>
      </c>
      <c r="I762" s="7">
        <v>1952.74999999993</v>
      </c>
      <c r="J762" s="1">
        <v>1.0600096890063584</v>
      </c>
      <c r="L762" s="1">
        <f t="shared" si="80"/>
        <v>1.0694857270942171</v>
      </c>
      <c r="M762" s="1"/>
      <c r="N762" s="1"/>
      <c r="S762" s="7">
        <f t="shared" si="86"/>
        <v>1.3173595831993332</v>
      </c>
      <c r="T762" s="7">
        <f t="shared" si="82"/>
        <v>1.1072048174835953</v>
      </c>
      <c r="V762" s="7">
        <f t="shared" si="83"/>
        <v>1.2122822003414644</v>
      </c>
      <c r="AF762" s="7">
        <f t="shared" si="84"/>
        <v>1.720505366521017</v>
      </c>
    </row>
    <row r="763" spans="1:32" x14ac:dyDescent="0.35">
      <c r="A763" t="s">
        <v>39</v>
      </c>
      <c r="B763">
        <v>1952</v>
      </c>
      <c r="G763" s="7">
        <v>1952.6666666665999</v>
      </c>
      <c r="H763" s="1">
        <v>1.0571885678593724</v>
      </c>
      <c r="I763" s="7">
        <v>1952.6666666665999</v>
      </c>
      <c r="J763" s="1">
        <v>1.054202461936915</v>
      </c>
      <c r="L763" s="1">
        <f t="shared" si="80"/>
        <v>1.0556955148981437</v>
      </c>
      <c r="M763" s="1"/>
      <c r="N763" s="1"/>
      <c r="S763" s="7">
        <f t="shared" si="86"/>
        <v>0.70770287524355791</v>
      </c>
      <c r="T763" s="7">
        <f t="shared" si="82"/>
        <v>0.92572649734043255</v>
      </c>
      <c r="V763" s="7">
        <f t="shared" si="83"/>
        <v>0.81671468629199517</v>
      </c>
      <c r="AF763" s="7">
        <f t="shared" si="84"/>
        <v>1.2576321898136364</v>
      </c>
    </row>
    <row r="764" spans="1:32" x14ac:dyDescent="0.35">
      <c r="A764" t="s">
        <v>41</v>
      </c>
      <c r="B764">
        <v>1952</v>
      </c>
      <c r="G764" s="7">
        <v>1952.58333333327</v>
      </c>
      <c r="H764" s="1">
        <v>1.0380593746929814</v>
      </c>
      <c r="I764" s="7">
        <v>1952.58333333326</v>
      </c>
      <c r="J764" s="1">
        <v>1.0360062054202193</v>
      </c>
      <c r="L764" s="1">
        <f t="shared" si="80"/>
        <v>1.0370327900566003</v>
      </c>
      <c r="M764" s="1"/>
      <c r="N764" s="1"/>
      <c r="S764" s="7">
        <f t="shared" si="86"/>
        <v>0.17207915591449441</v>
      </c>
      <c r="T764" s="7">
        <f t="shared" si="82"/>
        <v>0.35708572850950931</v>
      </c>
      <c r="V764" s="7">
        <f t="shared" si="83"/>
        <v>0.26458244221200189</v>
      </c>
      <c r="AF764" s="7">
        <f t="shared" si="84"/>
        <v>0.63121146396862859</v>
      </c>
    </row>
    <row r="765" spans="1:32" x14ac:dyDescent="0.35">
      <c r="A765" t="s">
        <v>43</v>
      </c>
      <c r="B765">
        <v>1952</v>
      </c>
      <c r="G765" s="7">
        <v>1952.49999999993</v>
      </c>
      <c r="H765" s="1">
        <v>1.0252070703553544</v>
      </c>
      <c r="I765" s="7">
        <v>1952.49999999993</v>
      </c>
      <c r="J765" s="1">
        <v>1.0189047957390636</v>
      </c>
      <c r="L765" s="1">
        <f t="shared" si="80"/>
        <v>1.022055933047209</v>
      </c>
      <c r="M765" s="1"/>
      <c r="N765" s="1"/>
      <c r="S765" s="7">
        <f t="shared" si="86"/>
        <v>-0.18778960548018997</v>
      </c>
      <c r="T765" s="7">
        <f t="shared" si="82"/>
        <v>-0.17734061024111858</v>
      </c>
      <c r="V765" s="7">
        <f t="shared" si="83"/>
        <v>-0.18256510786065427</v>
      </c>
      <c r="AF765" s="7">
        <f t="shared" si="84"/>
        <v>0.1285081492942462</v>
      </c>
    </row>
    <row r="766" spans="1:32" x14ac:dyDescent="0.35">
      <c r="A766" t="s">
        <v>44</v>
      </c>
      <c r="B766">
        <v>1952</v>
      </c>
      <c r="G766" s="7">
        <v>1952.4166666665999</v>
      </c>
      <c r="H766" s="1">
        <v>1.0144456838028877</v>
      </c>
      <c r="I766" s="7">
        <v>1952.4166666665999</v>
      </c>
      <c r="J766" s="1">
        <v>1.0059167678984937</v>
      </c>
      <c r="L766" s="1">
        <f t="shared" si="80"/>
        <v>1.0101812258506908</v>
      </c>
      <c r="M766" s="1"/>
      <c r="N766" s="1"/>
      <c r="S766" s="7">
        <f t="shared" si="86"/>
        <v>-0.48911197910215337</v>
      </c>
      <c r="T766" s="7">
        <f t="shared" si="82"/>
        <v>-0.58322201392888118</v>
      </c>
      <c r="V766" s="7">
        <f t="shared" si="83"/>
        <v>-0.53616699651551725</v>
      </c>
      <c r="AF766" s="7">
        <f t="shared" si="84"/>
        <v>-0.27007044865419155</v>
      </c>
    </row>
    <row r="767" spans="1:32" x14ac:dyDescent="0.35">
      <c r="A767" t="s">
        <v>42</v>
      </c>
      <c r="B767">
        <v>1952</v>
      </c>
      <c r="G767" s="7">
        <v>1952.33333333326</v>
      </c>
      <c r="H767" s="1">
        <v>0.99935862606005976</v>
      </c>
      <c r="I767" s="7">
        <v>1952.33333333326</v>
      </c>
      <c r="J767" s="1">
        <v>0.99342452701631989</v>
      </c>
      <c r="L767" s="1">
        <f t="shared" si="80"/>
        <v>0.99639157653818988</v>
      </c>
      <c r="M767" s="1"/>
      <c r="N767" s="1"/>
      <c r="S767" s="7">
        <f t="shared" si="86"/>
        <v>-0.91155457308168875</v>
      </c>
      <c r="T767" s="7">
        <f t="shared" si="82"/>
        <v>-0.97360986393212723</v>
      </c>
      <c r="V767" s="7">
        <f t="shared" si="83"/>
        <v>-0.94258221850690793</v>
      </c>
      <c r="AF767" s="7">
        <f t="shared" si="84"/>
        <v>-0.73292473198244379</v>
      </c>
    </row>
    <row r="768" spans="1:32" x14ac:dyDescent="0.35">
      <c r="A768" t="s">
        <v>40</v>
      </c>
      <c r="B768">
        <v>1952</v>
      </c>
      <c r="G768" s="7">
        <v>1952.24999999993</v>
      </c>
      <c r="H768" s="1">
        <v>0.98549856991630236</v>
      </c>
      <c r="I768" s="7">
        <v>1952.24999999993</v>
      </c>
      <c r="J768" s="1">
        <v>0.98985261529019497</v>
      </c>
      <c r="L768" s="1">
        <f t="shared" si="80"/>
        <v>0.98767559260324866</v>
      </c>
      <c r="M768" s="1"/>
      <c r="N768" s="1"/>
      <c r="S768" s="7">
        <f t="shared" si="86"/>
        <v>-1.2996407175026747</v>
      </c>
      <c r="T768" s="7">
        <f t="shared" si="82"/>
        <v>-1.0852336272197145</v>
      </c>
      <c r="V768" s="7">
        <f t="shared" si="83"/>
        <v>-1.1924371723611946</v>
      </c>
      <c r="AF768" s="7">
        <f t="shared" si="84"/>
        <v>-1.0254797060999195</v>
      </c>
    </row>
    <row r="769" spans="1:32" x14ac:dyDescent="0.35">
      <c r="A769" t="s">
        <v>38</v>
      </c>
      <c r="B769">
        <v>1952</v>
      </c>
      <c r="G769" s="7">
        <v>1952.1666666665999</v>
      </c>
      <c r="H769" s="1">
        <v>0.99281449263532573</v>
      </c>
      <c r="I769" s="7">
        <v>1952.1666666665999</v>
      </c>
      <c r="J769" s="1">
        <v>0.99225183751317114</v>
      </c>
      <c r="L769" s="1">
        <f t="shared" si="80"/>
        <v>0.99253316507424838</v>
      </c>
      <c r="M769" s="1"/>
      <c r="N769" s="1"/>
      <c r="S769" s="7">
        <f t="shared" si="86"/>
        <v>-1.09479246786651</v>
      </c>
      <c r="T769" s="7">
        <f t="shared" si="82"/>
        <v>-1.0102569105407859</v>
      </c>
      <c r="V769" s="7">
        <f t="shared" si="83"/>
        <v>-1.0525246892036479</v>
      </c>
      <c r="AF769" s="7">
        <f t="shared" si="84"/>
        <v>-0.86243362901502996</v>
      </c>
    </row>
    <row r="770" spans="1:32" x14ac:dyDescent="0.35">
      <c r="A770" t="s">
        <v>36</v>
      </c>
      <c r="B770">
        <v>1952</v>
      </c>
      <c r="G770" s="7">
        <v>1952.08333333326</v>
      </c>
      <c r="H770" s="1">
        <v>1.0450973661749432</v>
      </c>
      <c r="I770" s="7">
        <v>1952.08333333326</v>
      </c>
      <c r="J770" s="1">
        <v>1.0122115079696277</v>
      </c>
      <c r="L770" s="1">
        <f t="shared" si="80"/>
        <v>1.0286544370722854</v>
      </c>
      <c r="M770" s="1"/>
      <c r="N770" s="1"/>
      <c r="S770" s="7">
        <f t="shared" si="86"/>
        <v>0.36914523922415765</v>
      </c>
      <c r="T770" s="7">
        <f t="shared" si="82"/>
        <v>-0.38650870477344296</v>
      </c>
      <c r="V770" s="7">
        <f t="shared" si="83"/>
        <v>-8.6817327746426531E-3</v>
      </c>
      <c r="AF770" s="7">
        <f t="shared" si="84"/>
        <v>0.34998918788720212</v>
      </c>
    </row>
    <row r="771" spans="1:32" x14ac:dyDescent="0.35">
      <c r="A771" t="s">
        <v>34</v>
      </c>
      <c r="B771">
        <v>1952</v>
      </c>
      <c r="G771" s="7">
        <v>1951.99999999993</v>
      </c>
      <c r="H771" s="1">
        <v>1.0825451492427258</v>
      </c>
      <c r="I771" s="7">
        <v>1951.99999999993</v>
      </c>
      <c r="J771" s="1">
        <v>1.0703876655767228</v>
      </c>
      <c r="L771" s="1">
        <f t="shared" si="80"/>
        <v>1.0764664074097243</v>
      </c>
      <c r="M771" s="1"/>
      <c r="N771" s="1"/>
      <c r="S771" s="7">
        <f t="shared" si="86"/>
        <v>1.4176955190464309</v>
      </c>
      <c r="T771" s="7">
        <f t="shared" si="82"/>
        <v>1.4315210069408406</v>
      </c>
      <c r="V771" s="7">
        <f t="shared" si="83"/>
        <v>1.4246082629936359</v>
      </c>
      <c r="AF771" s="7">
        <f t="shared" si="84"/>
        <v>1.9548142826766053</v>
      </c>
    </row>
    <row r="772" spans="1:32" x14ac:dyDescent="0.35">
      <c r="A772" t="s">
        <v>33</v>
      </c>
      <c r="B772">
        <v>1951</v>
      </c>
      <c r="G772" s="7">
        <v>1951.9166666665999</v>
      </c>
      <c r="H772" s="1">
        <v>1.0865273068013266</v>
      </c>
      <c r="I772" s="7">
        <v>1951.9166666665999</v>
      </c>
      <c r="J772" s="1">
        <v>1.0845604172109511</v>
      </c>
      <c r="L772" s="1">
        <f t="shared" si="80"/>
        <v>1.0855438620061388</v>
      </c>
      <c r="M772" s="1"/>
      <c r="N772" s="1"/>
      <c r="S772" s="7">
        <f t="shared" si="86"/>
        <v>1.529197244390474</v>
      </c>
      <c r="T772" s="7">
        <f t="shared" si="82"/>
        <v>1.8744255339430103</v>
      </c>
      <c r="V772" s="7">
        <f t="shared" si="83"/>
        <v>1.7018113891667421</v>
      </c>
      <c r="AF772" s="7">
        <f t="shared" si="84"/>
        <v>2.2595021428573068</v>
      </c>
    </row>
    <row r="773" spans="1:32" x14ac:dyDescent="0.35">
      <c r="A773" t="s">
        <v>35</v>
      </c>
      <c r="B773">
        <v>1951</v>
      </c>
      <c r="G773" s="7">
        <v>1951.83333333326</v>
      </c>
      <c r="H773" s="1">
        <v>1.083650906504199</v>
      </c>
      <c r="I773" s="7">
        <v>1951.83333333326</v>
      </c>
      <c r="J773" s="1">
        <v>1.0780396938725894</v>
      </c>
      <c r="L773" s="1">
        <f t="shared" ref="L773:L795" si="87">AVERAGE(D773,F773,H773,J773)</f>
        <v>1.0808453001883942</v>
      </c>
      <c r="M773" s="1"/>
      <c r="N773" s="1"/>
      <c r="S773" s="7">
        <f t="shared" si="86"/>
        <v>1.44865708715407</v>
      </c>
      <c r="T773" s="7">
        <f t="shared" ref="T773:T836" si="88">STANDARDIZE(J773,AVERAGE($J$4:$J$795),_xlfn.STDEV.P($J$4:$J$795))</f>
        <v>1.670650151404433</v>
      </c>
      <c r="V773" s="7">
        <f t="shared" ref="V773:V836" si="89">AVERAGE(Q773,R773,S773,T773)</f>
        <v>1.5596536192792514</v>
      </c>
      <c r="AF773" s="7">
        <f t="shared" ref="AF773:AF795" si="90">STANDARDIZE(L773,L$1,L$2)</f>
        <v>2.1017933125932782</v>
      </c>
    </row>
    <row r="774" spans="1:32" x14ac:dyDescent="0.35">
      <c r="A774" t="s">
        <v>37</v>
      </c>
      <c r="B774">
        <v>1951</v>
      </c>
      <c r="G774" s="7">
        <v>1951.74999999993</v>
      </c>
      <c r="H774" s="1">
        <v>1.0801609288561791</v>
      </c>
      <c r="I774" s="7">
        <v>1951.74999999993</v>
      </c>
      <c r="J774" s="1">
        <v>1.059835649923395</v>
      </c>
      <c r="L774" s="1">
        <f t="shared" si="87"/>
        <v>1.069998289389787</v>
      </c>
      <c r="M774" s="1"/>
      <c r="N774" s="1"/>
      <c r="S774" s="7">
        <f t="shared" si="86"/>
        <v>1.3509365616751374</v>
      </c>
      <c r="T774" s="7">
        <f t="shared" si="88"/>
        <v>1.1017660219900196</v>
      </c>
      <c r="V774" s="7">
        <f t="shared" si="89"/>
        <v>1.2263512918325785</v>
      </c>
      <c r="AF774" s="7">
        <f t="shared" si="90"/>
        <v>1.7377096948255841</v>
      </c>
    </row>
    <row r="775" spans="1:32" x14ac:dyDescent="0.35">
      <c r="A775" t="s">
        <v>39</v>
      </c>
      <c r="B775">
        <v>1951</v>
      </c>
      <c r="G775" s="7">
        <v>1951.6666666665999</v>
      </c>
      <c r="H775" s="1">
        <v>1.0747857614972223</v>
      </c>
      <c r="I775" s="7">
        <v>1951.6666666665999</v>
      </c>
      <c r="J775" s="1">
        <v>1.0364403031115539</v>
      </c>
      <c r="L775" s="1">
        <f t="shared" si="87"/>
        <v>1.0556130323043882</v>
      </c>
      <c r="M775" s="1"/>
      <c r="N775" s="1"/>
      <c r="S775" s="7">
        <f t="shared" si="86"/>
        <v>1.2004301023708843</v>
      </c>
      <c r="T775" s="7">
        <f t="shared" si="88"/>
        <v>0.37065146631507162</v>
      </c>
      <c r="V775" s="7">
        <f t="shared" si="89"/>
        <v>0.78554078434297803</v>
      </c>
      <c r="AF775" s="7">
        <f t="shared" si="90"/>
        <v>1.2548636334163996</v>
      </c>
    </row>
    <row r="776" spans="1:32" x14ac:dyDescent="0.35">
      <c r="A776" t="s">
        <v>41</v>
      </c>
      <c r="B776">
        <v>1951</v>
      </c>
      <c r="G776" s="7">
        <v>1951.58333333326</v>
      </c>
      <c r="H776" s="1">
        <v>1.0538116468474226</v>
      </c>
      <c r="I776" s="7">
        <v>1951.58333333326</v>
      </c>
      <c r="J776" s="1">
        <v>1.0240854367812928</v>
      </c>
      <c r="L776" s="1">
        <f t="shared" si="87"/>
        <v>1.0389485418143578</v>
      </c>
      <c r="M776" s="1"/>
      <c r="N776" s="1"/>
      <c r="S776" s="7">
        <f t="shared" si="86"/>
        <v>0.61314797287167222</v>
      </c>
      <c r="T776" s="7">
        <f t="shared" si="88"/>
        <v>-1.5443370411196167E-2</v>
      </c>
      <c r="V776" s="7">
        <f t="shared" si="89"/>
        <v>0.29885230123023804</v>
      </c>
      <c r="AF776" s="7">
        <f t="shared" si="90"/>
        <v>0.69551432525081047</v>
      </c>
    </row>
    <row r="777" spans="1:32" x14ac:dyDescent="0.35">
      <c r="A777" t="s">
        <v>43</v>
      </c>
      <c r="B777">
        <v>1951</v>
      </c>
      <c r="G777" s="7">
        <v>1951.49999999993</v>
      </c>
      <c r="H777" s="1">
        <v>1.0491631006797628</v>
      </c>
      <c r="I777" s="7">
        <v>1951.49999999993</v>
      </c>
      <c r="J777" s="1">
        <v>1.0232820038354105</v>
      </c>
      <c r="L777" s="1">
        <f t="shared" si="87"/>
        <v>1.0362225522575867</v>
      </c>
      <c r="M777" s="1"/>
      <c r="N777" s="1"/>
      <c r="S777" s="7">
        <f t="shared" si="86"/>
        <v>0.48298714663414177</v>
      </c>
      <c r="T777" s="7">
        <f t="shared" si="88"/>
        <v>-4.0550992280092707E-2</v>
      </c>
      <c r="V777" s="7">
        <f t="shared" si="89"/>
        <v>0.22121807717702452</v>
      </c>
      <c r="AF777" s="7">
        <f t="shared" si="90"/>
        <v>0.60401555584296573</v>
      </c>
    </row>
    <row r="778" spans="1:32" x14ac:dyDescent="0.35">
      <c r="A778" t="s">
        <v>44</v>
      </c>
      <c r="B778">
        <v>1951</v>
      </c>
      <c r="G778" s="7">
        <v>1951.4166666665999</v>
      </c>
      <c r="H778" s="1">
        <v>1.0526838823886044</v>
      </c>
      <c r="I778" s="7">
        <v>1951.4166666665899</v>
      </c>
      <c r="J778" s="1">
        <v>1.0190130465598197</v>
      </c>
      <c r="L778" s="1">
        <f t="shared" si="87"/>
        <v>1.0358484644742121</v>
      </c>
      <c r="M778" s="1"/>
      <c r="N778" s="1"/>
      <c r="S778" s="7">
        <f t="shared" si="86"/>
        <v>0.58157019597825943</v>
      </c>
      <c r="T778" s="7">
        <f t="shared" si="88"/>
        <v>-0.17395772597122042</v>
      </c>
      <c r="V778" s="7">
        <f t="shared" si="89"/>
        <v>0.20380623500351952</v>
      </c>
      <c r="AF778" s="7">
        <f t="shared" si="90"/>
        <v>0.59145917177895846</v>
      </c>
    </row>
    <row r="779" spans="1:32" x14ac:dyDescent="0.35">
      <c r="A779" t="s">
        <v>42</v>
      </c>
      <c r="B779">
        <v>1951</v>
      </c>
      <c r="G779" s="7">
        <v>1951.33333333326</v>
      </c>
      <c r="H779" s="1">
        <v>1.0507868166120691</v>
      </c>
      <c r="I779" s="7">
        <v>1951.33333333326</v>
      </c>
      <c r="J779" s="1">
        <v>1.0153021605612107</v>
      </c>
      <c r="L779" s="1">
        <f t="shared" si="87"/>
        <v>1.0330444885866399</v>
      </c>
      <c r="M779" s="1"/>
      <c r="N779" s="1"/>
      <c r="S779" s="7">
        <f t="shared" si="86"/>
        <v>0.52845172839829857</v>
      </c>
      <c r="T779" s="7">
        <f t="shared" si="88"/>
        <v>-0.28992449448521618</v>
      </c>
      <c r="V779" s="7">
        <f t="shared" si="89"/>
        <v>0.1192636169565412</v>
      </c>
      <c r="AF779" s="7">
        <f t="shared" si="90"/>
        <v>0.49734276457378124</v>
      </c>
    </row>
    <row r="780" spans="1:32" x14ac:dyDescent="0.35">
      <c r="A780" t="s">
        <v>40</v>
      </c>
      <c r="B780">
        <v>1951</v>
      </c>
      <c r="G780" s="7">
        <v>1951.24999999993</v>
      </c>
      <c r="H780" s="1">
        <v>1.0363692099025166</v>
      </c>
      <c r="I780" s="7">
        <v>1951.24999999993</v>
      </c>
      <c r="J780" s="1">
        <v>1.0110027890146287</v>
      </c>
      <c r="L780" s="1">
        <f t="shared" si="87"/>
        <v>1.0236859994585727</v>
      </c>
      <c r="M780" s="1"/>
      <c r="N780" s="1"/>
      <c r="S780" s="7">
        <f t="shared" si="86"/>
        <v>0.12475398420059632</v>
      </c>
      <c r="T780" s="7">
        <f t="shared" si="88"/>
        <v>-0.42428168710310366</v>
      </c>
      <c r="V780" s="7">
        <f t="shared" si="89"/>
        <v>-0.14976385145125368</v>
      </c>
      <c r="AF780" s="7">
        <f t="shared" si="90"/>
        <v>0.18322188446699331</v>
      </c>
    </row>
    <row r="781" spans="1:32" x14ac:dyDescent="0.35">
      <c r="A781" t="s">
        <v>38</v>
      </c>
      <c r="B781">
        <v>1951</v>
      </c>
      <c r="G781" s="7">
        <v>1951.1666666665999</v>
      </c>
      <c r="H781" s="1">
        <v>1.0440295517337066</v>
      </c>
      <c r="I781" s="7">
        <v>1951.1666666665899</v>
      </c>
      <c r="J781" s="1">
        <v>1.0114137898449451</v>
      </c>
      <c r="L781" s="1">
        <f t="shared" si="87"/>
        <v>1.027721670789326</v>
      </c>
      <c r="M781" s="1"/>
      <c r="N781" s="1"/>
      <c r="S781" s="7">
        <f t="shared" si="86"/>
        <v>0.33924608260037936</v>
      </c>
      <c r="T781" s="7">
        <f t="shared" si="88"/>
        <v>-0.41143773604499245</v>
      </c>
      <c r="V781" s="7">
        <f t="shared" si="89"/>
        <v>-3.6095826722306545E-2</v>
      </c>
      <c r="AF781" s="7">
        <f t="shared" si="90"/>
        <v>0.31868056939894418</v>
      </c>
    </row>
    <row r="782" spans="1:32" x14ac:dyDescent="0.35">
      <c r="A782" t="s">
        <v>36</v>
      </c>
      <c r="B782">
        <v>1951</v>
      </c>
      <c r="G782" s="7">
        <v>1951.08333333326</v>
      </c>
      <c r="H782" s="1">
        <v>1.0552313482955802</v>
      </c>
      <c r="I782" s="7">
        <v>1951.08333333326</v>
      </c>
      <c r="J782" s="1">
        <v>1.033424473256656</v>
      </c>
      <c r="L782" s="1">
        <f t="shared" si="87"/>
        <v>1.0443279107761181</v>
      </c>
      <c r="M782" s="1"/>
      <c r="N782" s="1"/>
      <c r="S782" s="7">
        <f t="shared" si="86"/>
        <v>0.65290008177582959</v>
      </c>
      <c r="T782" s="7">
        <f t="shared" si="88"/>
        <v>0.27640549842717743</v>
      </c>
      <c r="V782" s="7">
        <f t="shared" si="89"/>
        <v>0.46465279010150351</v>
      </c>
      <c r="AF782" s="7">
        <f t="shared" si="90"/>
        <v>0.87607467955196194</v>
      </c>
    </row>
    <row r="783" spans="1:32" x14ac:dyDescent="0.35">
      <c r="A783" t="s">
        <v>34</v>
      </c>
      <c r="B783">
        <v>1951</v>
      </c>
      <c r="G783" s="7">
        <v>1950.99999999993</v>
      </c>
      <c r="H783" s="1">
        <v>1.0868445005237439</v>
      </c>
      <c r="I783" s="7">
        <v>1950.99999999993</v>
      </c>
      <c r="J783" s="1">
        <v>1.0679059074128565</v>
      </c>
      <c r="L783" s="1">
        <f t="shared" si="87"/>
        <v>1.0773752039683002</v>
      </c>
      <c r="M783" s="1"/>
      <c r="N783" s="1"/>
      <c r="S783" s="7">
        <f t="shared" si="86"/>
        <v>1.5380787732595278</v>
      </c>
      <c r="T783" s="7">
        <f t="shared" si="88"/>
        <v>1.3539650069438907</v>
      </c>
      <c r="V783" s="7">
        <f t="shared" si="89"/>
        <v>1.4460218901017092</v>
      </c>
      <c r="AF783" s="7">
        <f t="shared" si="90"/>
        <v>1.9853183491889783</v>
      </c>
    </row>
    <row r="784" spans="1:32" x14ac:dyDescent="0.35">
      <c r="A784" t="s">
        <v>33</v>
      </c>
      <c r="B784">
        <v>1950</v>
      </c>
      <c r="G784" s="7">
        <v>1950.9166666665999</v>
      </c>
      <c r="H784" s="1">
        <v>1.0978160241967048</v>
      </c>
      <c r="I784" s="7">
        <v>1950.9166666665899</v>
      </c>
      <c r="J784" s="1">
        <v>1.0767722010806993</v>
      </c>
      <c r="L784" s="1">
        <f t="shared" si="87"/>
        <v>1.0872941126387019</v>
      </c>
      <c r="M784" s="1"/>
      <c r="N784" s="1"/>
      <c r="S784" s="7">
        <f t="shared" si="86"/>
        <v>1.8452850555790052</v>
      </c>
      <c r="T784" s="7">
        <f t="shared" si="88"/>
        <v>1.6310404616307852</v>
      </c>
      <c r="V784" s="7">
        <f t="shared" si="89"/>
        <v>1.7381627586048953</v>
      </c>
      <c r="AF784" s="7">
        <f t="shared" si="90"/>
        <v>2.3182499024138457</v>
      </c>
    </row>
    <row r="785" spans="1:32" x14ac:dyDescent="0.35">
      <c r="A785" t="s">
        <v>35</v>
      </c>
      <c r="B785">
        <v>1950</v>
      </c>
      <c r="G785" s="7">
        <v>1950.83333333326</v>
      </c>
      <c r="H785" s="1">
        <v>1.0819108745918626</v>
      </c>
      <c r="I785" s="7">
        <v>1950.83333333326</v>
      </c>
      <c r="J785" s="1">
        <v>1.0710009117385628</v>
      </c>
      <c r="L785" s="1">
        <f t="shared" si="87"/>
        <v>1.0764558931652126</v>
      </c>
      <c r="M785" s="1"/>
      <c r="N785" s="1"/>
      <c r="S785" s="7">
        <f t="shared" si="86"/>
        <v>1.3999356195767358</v>
      </c>
      <c r="T785" s="7">
        <f t="shared" si="88"/>
        <v>1.4506852107775665</v>
      </c>
      <c r="V785" s="7">
        <f t="shared" si="89"/>
        <v>1.4253104151771512</v>
      </c>
      <c r="AF785" s="7">
        <f t="shared" si="90"/>
        <v>1.9544613684727761</v>
      </c>
    </row>
    <row r="786" spans="1:32" x14ac:dyDescent="0.35">
      <c r="A786" t="s">
        <v>37</v>
      </c>
      <c r="B786">
        <v>1950</v>
      </c>
      <c r="G786" s="7">
        <v>1950.74999999993</v>
      </c>
      <c r="H786" s="1">
        <v>1.1211864014606405</v>
      </c>
      <c r="I786" s="7">
        <v>1950.74999999993</v>
      </c>
      <c r="J786" s="1">
        <v>1.0577588049646087</v>
      </c>
      <c r="L786" s="1">
        <f t="shared" si="87"/>
        <v>1.0894726032126245</v>
      </c>
      <c r="M786" s="1"/>
      <c r="N786" s="1"/>
      <c r="S786" s="7">
        <f t="shared" si="86"/>
        <v>2.499663328794711</v>
      </c>
      <c r="T786" s="7">
        <f t="shared" si="88"/>
        <v>1.0368637321688554</v>
      </c>
      <c r="V786" s="7">
        <f t="shared" si="89"/>
        <v>1.7682635304817831</v>
      </c>
      <c r="AF786" s="7">
        <f t="shared" si="90"/>
        <v>2.3913716816904378</v>
      </c>
    </row>
    <row r="787" spans="1:32" x14ac:dyDescent="0.35">
      <c r="A787" t="s">
        <v>39</v>
      </c>
      <c r="B787">
        <v>1950</v>
      </c>
      <c r="G787" s="7">
        <v>1950.6666666665999</v>
      </c>
      <c r="H787" s="1">
        <v>1.1395496043237323</v>
      </c>
      <c r="I787" s="7">
        <v>1950.6666666665899</v>
      </c>
      <c r="J787" s="1">
        <v>1.0393415167405085</v>
      </c>
      <c r="L787" s="1">
        <f t="shared" si="87"/>
        <v>1.0894455605321203</v>
      </c>
      <c r="M787" s="1"/>
      <c r="N787" s="1"/>
      <c r="S787" s="7">
        <f t="shared" si="86"/>
        <v>3.0138390669332247</v>
      </c>
      <c r="T787" s="7">
        <f t="shared" si="88"/>
        <v>0.46131562830892847</v>
      </c>
      <c r="V787" s="7">
        <f t="shared" si="89"/>
        <v>1.7375773476210765</v>
      </c>
      <c r="AF787" s="7">
        <f t="shared" si="90"/>
        <v>2.3904639848940645</v>
      </c>
    </row>
    <row r="788" spans="1:32" x14ac:dyDescent="0.35">
      <c r="A788" t="s">
        <v>41</v>
      </c>
      <c r="B788">
        <v>1950</v>
      </c>
      <c r="G788" s="7">
        <v>1950.58333333326</v>
      </c>
      <c r="H788" s="1">
        <v>1.0943002695423738</v>
      </c>
      <c r="I788" s="7">
        <v>1950.58333333326</v>
      </c>
      <c r="J788" s="1">
        <v>1.0251377888265272</v>
      </c>
      <c r="L788" s="1">
        <f t="shared" si="87"/>
        <v>1.0597190291844505</v>
      </c>
      <c r="M788" s="1"/>
      <c r="N788" s="1"/>
      <c r="S788" s="7">
        <f t="shared" si="86"/>
        <v>1.7468427654195982</v>
      </c>
      <c r="T788" s="7">
        <f t="shared" si="88"/>
        <v>1.7443079366745311E-2</v>
      </c>
      <c r="V788" s="7">
        <f t="shared" si="89"/>
        <v>0.88214292239317171</v>
      </c>
      <c r="AF788" s="7">
        <f t="shared" si="90"/>
        <v>1.392682819401529</v>
      </c>
    </row>
    <row r="789" spans="1:32" x14ac:dyDescent="0.35">
      <c r="A789" t="s">
        <v>43</v>
      </c>
      <c r="B789">
        <v>1950</v>
      </c>
      <c r="G789" s="7">
        <v>1950.49999999993</v>
      </c>
      <c r="H789" s="1">
        <v>1.071022219568823</v>
      </c>
      <c r="I789" s="7">
        <v>1950.49999999993</v>
      </c>
      <c r="J789" s="1">
        <v>1.0150044327033676</v>
      </c>
      <c r="L789" s="1">
        <f t="shared" si="87"/>
        <v>1.0430133261360952</v>
      </c>
      <c r="M789" s="1"/>
      <c r="N789" s="1"/>
      <c r="S789" s="7">
        <f t="shared" si="86"/>
        <v>1.0950496867932009</v>
      </c>
      <c r="T789" s="7">
        <f t="shared" si="88"/>
        <v>-0.29922861689253361</v>
      </c>
      <c r="V789" s="7">
        <f t="shared" si="89"/>
        <v>0.39791053495033368</v>
      </c>
      <c r="AF789" s="7">
        <f t="shared" si="90"/>
        <v>0.83195019765665235</v>
      </c>
    </row>
    <row r="790" spans="1:32" x14ac:dyDescent="0.35">
      <c r="A790" t="s">
        <v>44</v>
      </c>
      <c r="B790">
        <v>1950</v>
      </c>
      <c r="G790" s="7">
        <v>1950.4166666665899</v>
      </c>
      <c r="H790" s="1">
        <v>1.0485379754110051</v>
      </c>
      <c r="I790" s="7">
        <v>1950.4166666665899</v>
      </c>
      <c r="J790" s="1">
        <v>1.0111751681199459</v>
      </c>
      <c r="L790" s="1">
        <f t="shared" si="87"/>
        <v>1.0298565717654755</v>
      </c>
      <c r="M790" s="1"/>
      <c r="N790" s="1"/>
      <c r="S790" s="7">
        <f t="shared" si="86"/>
        <v>0.46548343288175759</v>
      </c>
      <c r="T790" s="7">
        <f t="shared" si="88"/>
        <v>-0.4188947666182215</v>
      </c>
      <c r="V790" s="7">
        <f t="shared" si="89"/>
        <v>2.3294333131768041E-2</v>
      </c>
      <c r="AF790" s="7">
        <f t="shared" si="90"/>
        <v>0.39033924895627592</v>
      </c>
    </row>
    <row r="791" spans="1:32" x14ac:dyDescent="0.35">
      <c r="A791" t="s">
        <v>42</v>
      </c>
      <c r="B791">
        <v>1950</v>
      </c>
      <c r="G791" s="7">
        <v>1950.33333333326</v>
      </c>
      <c r="H791" s="1">
        <v>1.0277923056727392</v>
      </c>
      <c r="I791" s="7">
        <v>1950.33333333326</v>
      </c>
      <c r="J791" s="1">
        <v>1.0013736488876059</v>
      </c>
      <c r="L791" s="1">
        <f t="shared" si="87"/>
        <v>1.0145829772801727</v>
      </c>
      <c r="M791" s="1"/>
      <c r="N791" s="1"/>
      <c r="S791" s="7">
        <f t="shared" si="86"/>
        <v>-0.11540216373113929</v>
      </c>
      <c r="T791" s="7">
        <f t="shared" si="88"/>
        <v>-0.72519641865719642</v>
      </c>
      <c r="V791" s="7">
        <f t="shared" si="89"/>
        <v>-0.42029929119416787</v>
      </c>
      <c r="AF791" s="7">
        <f t="shared" si="90"/>
        <v>-0.12232416032509207</v>
      </c>
    </row>
    <row r="792" spans="1:32" x14ac:dyDescent="0.35">
      <c r="A792" t="s">
        <v>40</v>
      </c>
      <c r="B792">
        <v>1950</v>
      </c>
      <c r="G792" s="7">
        <v>1950.24999999993</v>
      </c>
      <c r="H792" s="1">
        <v>1.0194951762499918</v>
      </c>
      <c r="I792" s="7">
        <v>1950.24999999993</v>
      </c>
      <c r="J792" s="1">
        <v>0.99204306973344647</v>
      </c>
      <c r="L792" s="1">
        <f t="shared" si="87"/>
        <v>1.0057691229917192</v>
      </c>
      <c r="M792" s="1"/>
      <c r="N792" s="1"/>
      <c r="S792" s="7">
        <f t="shared" si="86"/>
        <v>-0.34772452476906751</v>
      </c>
      <c r="T792" s="7">
        <f t="shared" si="88"/>
        <v>-1.0167809926046345</v>
      </c>
      <c r="V792" s="7">
        <f t="shared" si="89"/>
        <v>-0.68225275868685098</v>
      </c>
      <c r="AF792" s="7">
        <f t="shared" si="90"/>
        <v>-0.41816418624536755</v>
      </c>
    </row>
    <row r="793" spans="1:32" x14ac:dyDescent="0.35">
      <c r="A793" t="s">
        <v>38</v>
      </c>
      <c r="B793">
        <v>1950</v>
      </c>
      <c r="G793" s="7">
        <v>1950.1666666665899</v>
      </c>
      <c r="H793" s="1">
        <v>1.021839220383352</v>
      </c>
      <c r="I793" s="7">
        <v>1950.1666666665899</v>
      </c>
      <c r="J793" s="1">
        <v>0.99500184613497977</v>
      </c>
      <c r="L793" s="1">
        <f t="shared" si="87"/>
        <v>1.0084205332591658</v>
      </c>
      <c r="M793" s="1"/>
      <c r="N793" s="1"/>
      <c r="S793" s="7">
        <f t="shared" si="86"/>
        <v>-0.28209051574103633</v>
      </c>
      <c r="T793" s="7">
        <f t="shared" si="88"/>
        <v>-0.92431796944253786</v>
      </c>
      <c r="V793" s="7">
        <f t="shared" si="89"/>
        <v>-0.60320424259178707</v>
      </c>
      <c r="AF793" s="7">
        <f t="shared" si="90"/>
        <v>-0.32916869612542243</v>
      </c>
    </row>
    <row r="794" spans="1:32" x14ac:dyDescent="0.35">
      <c r="A794" t="s">
        <v>36</v>
      </c>
      <c r="B794">
        <v>1950</v>
      </c>
      <c r="G794" s="7">
        <v>1950.08333333326</v>
      </c>
      <c r="H794" s="1">
        <v>1.0325309586487108</v>
      </c>
      <c r="I794" s="7">
        <v>1950.08333333326</v>
      </c>
      <c r="J794" s="1">
        <v>1.0059889648531137</v>
      </c>
      <c r="L794" s="1">
        <f t="shared" si="87"/>
        <v>1.0192599617509122</v>
      </c>
      <c r="M794" s="1"/>
      <c r="N794" s="1"/>
      <c r="S794" s="7">
        <f t="shared" si="86"/>
        <v>1.7281682865121384E-2</v>
      </c>
      <c r="T794" s="7">
        <f t="shared" si="88"/>
        <v>-0.5809658283368222</v>
      </c>
      <c r="V794" s="7">
        <f t="shared" si="89"/>
        <v>-0.28184207273585038</v>
      </c>
      <c r="AF794" s="7">
        <f t="shared" si="90"/>
        <v>3.4660418925885859E-2</v>
      </c>
    </row>
    <row r="795" spans="1:32" x14ac:dyDescent="0.35">
      <c r="A795" t="s">
        <v>34</v>
      </c>
      <c r="B795">
        <v>1950</v>
      </c>
      <c r="G795" s="7">
        <v>1949.99999999993</v>
      </c>
      <c r="H795" s="1">
        <v>1.0755030929551719</v>
      </c>
      <c r="I795" s="7">
        <v>1949.99999999993</v>
      </c>
      <c r="J795" s="1">
        <v>1.0419449675024843</v>
      </c>
      <c r="L795" s="1">
        <f t="shared" si="87"/>
        <v>1.0587240302288281</v>
      </c>
      <c r="M795" s="1"/>
      <c r="N795" s="1"/>
      <c r="S795" s="7">
        <f t="shared" si="86"/>
        <v>1.2205156198392197</v>
      </c>
      <c r="T795" s="7">
        <f t="shared" si="88"/>
        <v>0.54267457384506479</v>
      </c>
      <c r="V795" s="7">
        <f t="shared" si="89"/>
        <v>0.88159509684214221</v>
      </c>
      <c r="AF795" s="7">
        <f t="shared" si="90"/>
        <v>1.3592853400254974</v>
      </c>
    </row>
    <row r="796" spans="1:32" x14ac:dyDescent="0.35">
      <c r="G796" s="7">
        <v>1949.9166666665899</v>
      </c>
      <c r="H796" s="1">
        <v>1.0884769482212511</v>
      </c>
      <c r="I796" s="7"/>
      <c r="L796" s="1"/>
      <c r="S796" s="7">
        <f t="shared" si="86"/>
        <v>1.5837878473298956</v>
      </c>
      <c r="T796" s="7"/>
      <c r="V796" s="7">
        <f t="shared" si="89"/>
        <v>1.5837878473298956</v>
      </c>
      <c r="AF796" s="7"/>
    </row>
    <row r="797" spans="1:32" x14ac:dyDescent="0.35">
      <c r="G797" s="7">
        <v>1949.83333333326</v>
      </c>
      <c r="H797" s="1">
        <v>1.0907612881638913</v>
      </c>
      <c r="I797" s="7"/>
      <c r="L797" s="1"/>
      <c r="S797" s="7">
        <f t="shared" si="86"/>
        <v>1.6477501193215127</v>
      </c>
      <c r="T797" s="7"/>
      <c r="V797" s="7">
        <f t="shared" si="89"/>
        <v>1.6477501193215127</v>
      </c>
      <c r="AF797" s="7"/>
    </row>
    <row r="798" spans="1:32" x14ac:dyDescent="0.35">
      <c r="G798" s="7">
        <v>1949.74999999993</v>
      </c>
      <c r="H798" s="1">
        <v>1.0919875889576027</v>
      </c>
      <c r="I798" s="7"/>
      <c r="L798" s="1"/>
      <c r="S798" s="7">
        <f t="shared" si="86"/>
        <v>1.6820869460988142</v>
      </c>
      <c r="T798" s="7"/>
      <c r="V798" s="7">
        <f t="shared" si="89"/>
        <v>1.6820869460988142</v>
      </c>
      <c r="AF798" s="7"/>
    </row>
    <row r="799" spans="1:32" x14ac:dyDescent="0.35">
      <c r="G799" s="7">
        <v>1949.6666666665899</v>
      </c>
      <c r="H799" s="1">
        <v>1.0809324836630541</v>
      </c>
      <c r="I799" s="7"/>
      <c r="L799" s="1"/>
      <c r="S799" s="7">
        <f t="shared" si="86"/>
        <v>1.3725403508015217</v>
      </c>
      <c r="T799" s="7"/>
      <c r="V799" s="7">
        <f t="shared" si="89"/>
        <v>1.3725403508015217</v>
      </c>
      <c r="AF799" s="7"/>
    </row>
    <row r="800" spans="1:32" x14ac:dyDescent="0.35">
      <c r="G800" s="7">
        <v>1949.58333333326</v>
      </c>
      <c r="H800" s="1">
        <v>1.0608116588124885</v>
      </c>
      <c r="I800" s="7"/>
      <c r="L800" s="1"/>
      <c r="S800" s="7">
        <f t="shared" si="86"/>
        <v>0.80915061717890879</v>
      </c>
      <c r="T800" s="7"/>
      <c r="V800" s="7">
        <f t="shared" si="89"/>
        <v>0.80915061717890879</v>
      </c>
      <c r="AF800" s="7"/>
    </row>
    <row r="801" spans="7:32" x14ac:dyDescent="0.35">
      <c r="G801" s="7">
        <v>1949.49999999993</v>
      </c>
      <c r="H801" s="1">
        <v>1.057760461531092</v>
      </c>
      <c r="I801" s="7"/>
      <c r="L801" s="1"/>
      <c r="S801" s="7">
        <f t="shared" si="86"/>
        <v>0.72371608671791332</v>
      </c>
      <c r="T801" s="7"/>
      <c r="V801" s="7">
        <f t="shared" si="89"/>
        <v>0.72371608671791332</v>
      </c>
      <c r="AF801" s="7"/>
    </row>
    <row r="802" spans="7:32" x14ac:dyDescent="0.35">
      <c r="G802" s="7">
        <v>1949.4166666665899</v>
      </c>
      <c r="H802" s="1">
        <v>1.0370457638593331</v>
      </c>
      <c r="I802" s="7"/>
      <c r="L802" s="1"/>
      <c r="S802" s="7">
        <f t="shared" si="86"/>
        <v>0.14369771818481622</v>
      </c>
      <c r="T802" s="7"/>
      <c r="V802" s="7">
        <f t="shared" si="89"/>
        <v>0.14369771818481622</v>
      </c>
      <c r="AF802" s="7"/>
    </row>
    <row r="803" spans="7:32" x14ac:dyDescent="0.35">
      <c r="G803" s="7">
        <v>1949.33333333326</v>
      </c>
      <c r="H803" s="1">
        <v>1.014910653073543</v>
      </c>
      <c r="I803" s="7"/>
      <c r="L803" s="1"/>
      <c r="S803" s="7">
        <f t="shared" si="86"/>
        <v>-0.47609268613167482</v>
      </c>
      <c r="T803" s="7"/>
      <c r="V803" s="7">
        <f t="shared" si="89"/>
        <v>-0.47609268613167482</v>
      </c>
      <c r="AF803" s="7"/>
    </row>
    <row r="804" spans="7:32" x14ac:dyDescent="0.35">
      <c r="G804" s="7">
        <v>1949.24999999993</v>
      </c>
      <c r="H804" s="1">
        <v>1.0078494907435747</v>
      </c>
      <c r="I804" s="7"/>
      <c r="L804" s="1"/>
      <c r="S804" s="7">
        <f t="shared" si="86"/>
        <v>-0.67380756082952187</v>
      </c>
      <c r="T804" s="7"/>
      <c r="V804" s="7">
        <f t="shared" si="89"/>
        <v>-0.67380756082952187</v>
      </c>
      <c r="AF804" s="7"/>
    </row>
    <row r="805" spans="7:32" x14ac:dyDescent="0.35">
      <c r="G805" s="7">
        <v>1949.1666666665899</v>
      </c>
      <c r="H805" s="1">
        <v>1.0162279649101347</v>
      </c>
      <c r="I805" s="7"/>
      <c r="L805" s="1"/>
      <c r="S805" s="7">
        <f t="shared" si="86"/>
        <v>-0.43920752012942532</v>
      </c>
      <c r="T805" s="7"/>
      <c r="V805" s="7">
        <f t="shared" si="89"/>
        <v>-0.43920752012942532</v>
      </c>
      <c r="AF805" s="7"/>
    </row>
    <row r="806" spans="7:32" x14ac:dyDescent="0.35">
      <c r="G806" s="7">
        <v>1949.08333333326</v>
      </c>
      <c r="H806" s="1">
        <v>1.0345204189158965</v>
      </c>
      <c r="I806" s="7"/>
      <c r="L806" s="1"/>
      <c r="S806" s="7">
        <f t="shared" si="86"/>
        <v>7.2987226663989518E-2</v>
      </c>
      <c r="T806" s="7"/>
      <c r="V806" s="7">
        <f t="shared" si="89"/>
        <v>7.2987226663989518E-2</v>
      </c>
      <c r="AF806" s="7"/>
    </row>
    <row r="807" spans="7:32" x14ac:dyDescent="0.35">
      <c r="G807" s="7">
        <v>1948.99999999993</v>
      </c>
      <c r="H807" s="1">
        <v>1.0713800896091599</v>
      </c>
      <c r="I807" s="7"/>
      <c r="L807" s="1"/>
      <c r="S807" s="7">
        <f t="shared" si="86"/>
        <v>1.1050701659830096</v>
      </c>
      <c r="T807" s="7"/>
      <c r="V807" s="7">
        <f t="shared" si="89"/>
        <v>1.1050701659830096</v>
      </c>
      <c r="AF807" s="7"/>
    </row>
    <row r="808" spans="7:32" x14ac:dyDescent="0.35">
      <c r="G808" s="7">
        <v>1948.9166666665899</v>
      </c>
      <c r="H808" s="1">
        <v>1.0939396213793413</v>
      </c>
      <c r="S808" s="7">
        <f t="shared" si="86"/>
        <v>1.7367444978778155</v>
      </c>
      <c r="T808" s="7"/>
      <c r="V808" s="7">
        <f t="shared" si="89"/>
        <v>1.7367444978778155</v>
      </c>
      <c r="AF808" s="7"/>
    </row>
    <row r="809" spans="7:32" x14ac:dyDescent="0.35">
      <c r="G809" s="7">
        <v>1948.83333333326</v>
      </c>
      <c r="H809" s="1">
        <v>1.0758226019671637</v>
      </c>
      <c r="S809" s="7">
        <f t="shared" si="86"/>
        <v>1.2294619775801674</v>
      </c>
      <c r="T809" s="7"/>
      <c r="V809" s="7">
        <f t="shared" si="89"/>
        <v>1.2294619775801674</v>
      </c>
      <c r="AF809" s="7"/>
    </row>
    <row r="810" spans="7:32" x14ac:dyDescent="0.35">
      <c r="G810" s="7">
        <v>1948.74999999992</v>
      </c>
      <c r="H810" s="1">
        <v>1.0449362180050761</v>
      </c>
      <c r="S810" s="7">
        <f t="shared" si="86"/>
        <v>0.36463303730552421</v>
      </c>
      <c r="T810" s="7"/>
      <c r="V810" s="7">
        <f t="shared" si="89"/>
        <v>0.36463303730552421</v>
      </c>
      <c r="AF810" s="7"/>
    </row>
    <row r="811" spans="7:32" x14ac:dyDescent="0.35">
      <c r="G811" s="7">
        <v>1948.6666666665899</v>
      </c>
      <c r="H811" s="1">
        <v>1.0607713137865535</v>
      </c>
      <c r="S811" s="7">
        <f t="shared" si="86"/>
        <v>0.80802094314301243</v>
      </c>
      <c r="T811" s="7"/>
      <c r="V811" s="7">
        <f t="shared" si="89"/>
        <v>0.80802094314301243</v>
      </c>
      <c r="AF811" s="7"/>
    </row>
    <row r="812" spans="7:32" x14ac:dyDescent="0.35">
      <c r="G812" s="7">
        <v>1948.58333333326</v>
      </c>
      <c r="H812" s="1">
        <v>1.0633218586722994</v>
      </c>
      <c r="S812" s="7">
        <f t="shared" si="86"/>
        <v>0.87943704136189416</v>
      </c>
      <c r="T812" s="7"/>
      <c r="V812" s="7">
        <f t="shared" si="89"/>
        <v>0.87943704136189416</v>
      </c>
      <c r="AF812" s="7"/>
    </row>
    <row r="813" spans="7:32" x14ac:dyDescent="0.35">
      <c r="G813" s="7">
        <v>1948.49999999992</v>
      </c>
      <c r="H813" s="1">
        <v>1.0560504072344428</v>
      </c>
      <c r="S813" s="7">
        <f t="shared" ref="S813:S876" si="91">STANDARDIZE(H813, AVERAGE($H$4:$H$891), _xlfn.STDEV.P($H$4:$H$891))</f>
        <v>0.67583400226935453</v>
      </c>
      <c r="T813" s="7"/>
      <c r="V813" s="7">
        <f t="shared" si="89"/>
        <v>0.67583400226935453</v>
      </c>
      <c r="AF813" s="7"/>
    </row>
    <row r="814" spans="7:32" x14ac:dyDescent="0.35">
      <c r="G814" s="7">
        <v>1948.4166666665899</v>
      </c>
      <c r="H814" s="1">
        <v>1.0335738926644673</v>
      </c>
      <c r="S814" s="7">
        <f t="shared" si="91"/>
        <v>4.648417936747043E-2</v>
      </c>
      <c r="T814" s="7"/>
      <c r="V814" s="7">
        <f t="shared" si="89"/>
        <v>4.648417936747043E-2</v>
      </c>
      <c r="AF814" s="7"/>
    </row>
    <row r="815" spans="7:32" x14ac:dyDescent="0.35">
      <c r="G815" s="7">
        <v>1948.33333333326</v>
      </c>
      <c r="H815" s="1">
        <v>1.025652402581581</v>
      </c>
      <c r="S815" s="7">
        <f t="shared" si="91"/>
        <v>-0.17532015623192551</v>
      </c>
      <c r="T815" s="7"/>
      <c r="V815" s="7">
        <f t="shared" si="89"/>
        <v>-0.17532015623192551</v>
      </c>
      <c r="AF815" s="7"/>
    </row>
    <row r="816" spans="7:32" x14ac:dyDescent="0.35">
      <c r="G816" s="7">
        <v>1948.24999999992</v>
      </c>
      <c r="H816" s="1">
        <v>1.0186682259019515</v>
      </c>
      <c r="S816" s="7">
        <f t="shared" si="91"/>
        <v>-0.37087940732292224</v>
      </c>
      <c r="T816" s="7"/>
      <c r="V816" s="7">
        <f t="shared" si="89"/>
        <v>-0.37087940732292224</v>
      </c>
      <c r="AF816" s="7"/>
    </row>
    <row r="817" spans="7:32" x14ac:dyDescent="0.35">
      <c r="G817" s="7">
        <v>1948.1666666665899</v>
      </c>
      <c r="H817" s="1">
        <v>1.020270090522682</v>
      </c>
      <c r="S817" s="7">
        <f t="shared" si="91"/>
        <v>-0.32602666949157555</v>
      </c>
      <c r="T817" s="7"/>
      <c r="V817" s="7">
        <f t="shared" si="89"/>
        <v>-0.32602666949157555</v>
      </c>
      <c r="AF817" s="7"/>
    </row>
    <row r="818" spans="7:32" x14ac:dyDescent="0.35">
      <c r="G818" s="7">
        <v>1948.08333333326</v>
      </c>
      <c r="H818" s="1">
        <v>1.0304248517538257</v>
      </c>
      <c r="S818" s="7">
        <f t="shared" si="91"/>
        <v>-4.1690004990742928E-2</v>
      </c>
      <c r="T818" s="7"/>
      <c r="V818" s="7">
        <f t="shared" si="89"/>
        <v>-4.1690004990742928E-2</v>
      </c>
      <c r="AF818" s="7"/>
    </row>
    <row r="819" spans="7:32" x14ac:dyDescent="0.35">
      <c r="G819" s="7">
        <v>1947.99999999992</v>
      </c>
      <c r="H819" s="1">
        <v>1.0643526766971874</v>
      </c>
      <c r="S819" s="7">
        <f t="shared" si="91"/>
        <v>0.90830028612288949</v>
      </c>
      <c r="T819" s="7"/>
      <c r="V819" s="7">
        <f t="shared" si="89"/>
        <v>0.90830028612288949</v>
      </c>
      <c r="AF819" s="7"/>
    </row>
    <row r="820" spans="7:32" x14ac:dyDescent="0.35">
      <c r="G820" s="7">
        <v>1947.9166666665899</v>
      </c>
      <c r="H820" s="1">
        <v>1.0774764943854815</v>
      </c>
      <c r="S820" s="7">
        <f t="shared" si="91"/>
        <v>1.2757715109077905</v>
      </c>
      <c r="T820" s="7"/>
      <c r="V820" s="7">
        <f t="shared" si="89"/>
        <v>1.2757715109077905</v>
      </c>
      <c r="AF820" s="7"/>
    </row>
    <row r="821" spans="7:32" x14ac:dyDescent="0.35">
      <c r="G821" s="7">
        <v>1947.83333333326</v>
      </c>
      <c r="H821" s="1">
        <v>1.062413378676019</v>
      </c>
      <c r="S821" s="7">
        <f t="shared" si="91"/>
        <v>0.85399930176090033</v>
      </c>
      <c r="T821" s="7"/>
      <c r="V821" s="7">
        <f t="shared" si="89"/>
        <v>0.85399930176090033</v>
      </c>
      <c r="AF821" s="7"/>
    </row>
    <row r="822" spans="7:32" x14ac:dyDescent="0.35">
      <c r="G822" s="7">
        <v>1947.74999999992</v>
      </c>
      <c r="H822" s="1">
        <v>1.0665868107672176</v>
      </c>
      <c r="S822" s="7">
        <f t="shared" si="91"/>
        <v>0.97085677711864371</v>
      </c>
      <c r="T822" s="7"/>
      <c r="V822" s="7">
        <f t="shared" si="89"/>
        <v>0.97085677711864371</v>
      </c>
      <c r="AF822" s="7"/>
    </row>
    <row r="823" spans="7:32" x14ac:dyDescent="0.35">
      <c r="G823" s="7">
        <v>1947.6666666665899</v>
      </c>
      <c r="H823" s="1">
        <v>1.0523471108759823</v>
      </c>
      <c r="S823" s="7">
        <f t="shared" si="91"/>
        <v>0.57214048252481065</v>
      </c>
      <c r="T823" s="7"/>
      <c r="V823" s="7">
        <f t="shared" si="89"/>
        <v>0.57214048252481065</v>
      </c>
      <c r="AF823" s="7"/>
    </row>
    <row r="824" spans="7:32" x14ac:dyDescent="0.35">
      <c r="G824" s="7">
        <v>1947.58333333326</v>
      </c>
      <c r="H824" s="1">
        <v>1.0475745600600124</v>
      </c>
      <c r="S824" s="7">
        <f t="shared" si="91"/>
        <v>0.43850748522579014</v>
      </c>
      <c r="T824" s="7"/>
      <c r="V824" s="7">
        <f t="shared" si="89"/>
        <v>0.43850748522579014</v>
      </c>
      <c r="AF824" s="7"/>
    </row>
    <row r="825" spans="7:32" x14ac:dyDescent="0.35">
      <c r="G825" s="7">
        <v>1947.49999999992</v>
      </c>
      <c r="H825" s="1">
        <v>1.0329280780996191</v>
      </c>
      <c r="S825" s="7">
        <f t="shared" si="91"/>
        <v>2.8401158499206654E-2</v>
      </c>
      <c r="T825" s="7"/>
      <c r="V825" s="7">
        <f t="shared" si="89"/>
        <v>2.8401158499206654E-2</v>
      </c>
      <c r="AF825" s="7"/>
    </row>
    <row r="826" spans="7:32" x14ac:dyDescent="0.35">
      <c r="G826" s="7">
        <v>1947.4166666665899</v>
      </c>
      <c r="H826" s="1">
        <v>1.0223927143783647</v>
      </c>
      <c r="S826" s="7">
        <f t="shared" si="91"/>
        <v>-0.26659250128447914</v>
      </c>
      <c r="T826" s="7"/>
      <c r="V826" s="7">
        <f t="shared" si="89"/>
        <v>-0.26659250128447914</v>
      </c>
      <c r="AF826" s="7"/>
    </row>
    <row r="827" spans="7:32" x14ac:dyDescent="0.35">
      <c r="G827" s="7">
        <v>1947.33333333326</v>
      </c>
      <c r="H827" s="1">
        <v>1.0158920616759544</v>
      </c>
      <c r="S827" s="7">
        <f t="shared" si="91"/>
        <v>-0.44861292150006055</v>
      </c>
      <c r="T827" s="7"/>
      <c r="V827" s="7">
        <f t="shared" si="89"/>
        <v>-0.44861292150006055</v>
      </c>
      <c r="AF827" s="7"/>
    </row>
    <row r="828" spans="7:32" x14ac:dyDescent="0.35">
      <c r="G828" s="7">
        <v>1947.24999999992</v>
      </c>
      <c r="H828" s="1">
        <v>1.00316538524224</v>
      </c>
      <c r="S828" s="7">
        <f t="shared" si="91"/>
        <v>-0.8049640601408804</v>
      </c>
      <c r="T828" s="7"/>
      <c r="V828" s="7">
        <f t="shared" si="89"/>
        <v>-0.8049640601408804</v>
      </c>
      <c r="AF828" s="7"/>
    </row>
    <row r="829" spans="7:32" x14ac:dyDescent="0.35">
      <c r="G829" s="7">
        <v>1947.1666666665899</v>
      </c>
      <c r="H829" s="1">
        <v>1.0037086591478208</v>
      </c>
      <c r="S829" s="7">
        <f t="shared" si="91"/>
        <v>-0.78975221155999564</v>
      </c>
      <c r="T829" s="7"/>
      <c r="V829" s="7">
        <f t="shared" si="89"/>
        <v>-0.78975221155999564</v>
      </c>
      <c r="AF829" s="7"/>
    </row>
    <row r="830" spans="7:32" x14ac:dyDescent="0.35">
      <c r="G830" s="7">
        <v>1947.08333333326</v>
      </c>
      <c r="H830" s="1">
        <v>1.0278804300246518</v>
      </c>
      <c r="S830" s="7">
        <f t="shared" si="91"/>
        <v>-0.11293465280559549</v>
      </c>
      <c r="T830" s="7"/>
      <c r="V830" s="7">
        <f t="shared" si="89"/>
        <v>-0.11293465280559549</v>
      </c>
      <c r="AF830" s="7"/>
    </row>
    <row r="831" spans="7:32" x14ac:dyDescent="0.35">
      <c r="G831" s="7">
        <v>1946.99999999992</v>
      </c>
      <c r="H831" s="1">
        <v>1.0675384598313435</v>
      </c>
      <c r="S831" s="7">
        <f t="shared" si="91"/>
        <v>0.99750326486067309</v>
      </c>
      <c r="T831" s="7"/>
      <c r="V831" s="7">
        <f t="shared" si="89"/>
        <v>0.99750326486067309</v>
      </c>
      <c r="AF831" s="7"/>
    </row>
    <row r="832" spans="7:32" x14ac:dyDescent="0.35">
      <c r="G832" s="7">
        <v>1946.9166666665899</v>
      </c>
      <c r="H832" s="1">
        <v>1.0635322837432424</v>
      </c>
      <c r="S832" s="7">
        <f t="shared" si="91"/>
        <v>0.8853290127669694</v>
      </c>
      <c r="T832" s="7"/>
      <c r="V832" s="7">
        <f t="shared" si="89"/>
        <v>0.8853290127669694</v>
      </c>
      <c r="AF832" s="7"/>
    </row>
    <row r="833" spans="7:32" x14ac:dyDescent="0.35">
      <c r="G833" s="7">
        <v>1946.83333333325</v>
      </c>
      <c r="H833" s="1">
        <v>1.0469096518226291</v>
      </c>
      <c r="S833" s="7">
        <f t="shared" si="91"/>
        <v>0.41988983522759288</v>
      </c>
      <c r="T833" s="7"/>
      <c r="V833" s="7">
        <f t="shared" si="89"/>
        <v>0.41988983522759288</v>
      </c>
      <c r="AF833" s="7"/>
    </row>
    <row r="834" spans="7:32" x14ac:dyDescent="0.35">
      <c r="G834" s="7">
        <v>1946.74999999992</v>
      </c>
      <c r="H834" s="1">
        <v>1.0368528735146196</v>
      </c>
      <c r="S834" s="7">
        <f t="shared" si="91"/>
        <v>0.13829672489882536</v>
      </c>
      <c r="T834" s="7"/>
      <c r="V834" s="7">
        <f t="shared" si="89"/>
        <v>0.13829672489882536</v>
      </c>
      <c r="AF834" s="7"/>
    </row>
    <row r="835" spans="7:32" x14ac:dyDescent="0.35">
      <c r="G835" s="7">
        <v>1946.6666666665899</v>
      </c>
      <c r="H835" s="1">
        <v>1.034843088206413</v>
      </c>
      <c r="S835" s="7">
        <f t="shared" si="91"/>
        <v>8.2022073246194982E-2</v>
      </c>
      <c r="T835" s="7"/>
      <c r="V835" s="7">
        <f t="shared" si="89"/>
        <v>8.2022073246194982E-2</v>
      </c>
      <c r="AF835" s="7"/>
    </row>
    <row r="836" spans="7:32" x14ac:dyDescent="0.35">
      <c r="G836" s="7">
        <v>1946.58333333325</v>
      </c>
      <c r="H836" s="1">
        <v>1.0294372945405563</v>
      </c>
      <c r="S836" s="7">
        <f t="shared" si="91"/>
        <v>-6.9341932754792043E-2</v>
      </c>
      <c r="T836" s="7"/>
      <c r="V836" s="7">
        <f t="shared" si="89"/>
        <v>-6.9341932754792043E-2</v>
      </c>
      <c r="AF836" s="7"/>
    </row>
    <row r="837" spans="7:32" x14ac:dyDescent="0.35">
      <c r="G837" s="7">
        <v>1946.49999999992</v>
      </c>
      <c r="H837" s="1">
        <v>1.0058592771879402</v>
      </c>
      <c r="S837" s="7">
        <f t="shared" si="91"/>
        <v>-0.72953419695346222</v>
      </c>
      <c r="T837" s="7"/>
      <c r="V837" s="7">
        <f t="shared" ref="V837:V891" si="92">AVERAGE(Q837,R837,S837,T837)</f>
        <v>-0.72953419695346222</v>
      </c>
      <c r="AF837" s="7"/>
    </row>
    <row r="838" spans="7:32" x14ac:dyDescent="0.35">
      <c r="G838" s="7">
        <v>1946.4166666665899</v>
      </c>
      <c r="H838" s="1">
        <v>1.0171841218067368</v>
      </c>
      <c r="S838" s="7">
        <f t="shared" si="91"/>
        <v>-0.41243481159094081</v>
      </c>
      <c r="T838" s="7"/>
      <c r="V838" s="7">
        <f t="shared" si="92"/>
        <v>-0.41243481159094081</v>
      </c>
      <c r="AF838" s="7"/>
    </row>
    <row r="839" spans="7:32" x14ac:dyDescent="0.35">
      <c r="G839" s="7">
        <v>1946.33333333325</v>
      </c>
      <c r="H839" s="1">
        <v>1.0102241234992462</v>
      </c>
      <c r="S839" s="7">
        <f t="shared" si="91"/>
        <v>-0.60731706028566856</v>
      </c>
      <c r="T839" s="7"/>
      <c r="V839" s="7">
        <f t="shared" si="92"/>
        <v>-0.60731706028566856</v>
      </c>
      <c r="AF839" s="7"/>
    </row>
    <row r="840" spans="7:32" x14ac:dyDescent="0.35">
      <c r="G840" s="7">
        <v>1946.24999999992</v>
      </c>
      <c r="H840" s="1">
        <v>0.9971615843823306</v>
      </c>
      <c r="S840" s="7">
        <f t="shared" si="91"/>
        <v>-0.97307246485633037</v>
      </c>
      <c r="T840" s="7"/>
      <c r="V840" s="7">
        <f t="shared" si="92"/>
        <v>-0.97307246485633037</v>
      </c>
      <c r="AF840" s="7"/>
    </row>
    <row r="841" spans="7:32" x14ac:dyDescent="0.35">
      <c r="G841" s="7">
        <v>1946.1666666665899</v>
      </c>
      <c r="H841" s="1">
        <v>1.0164277188180653</v>
      </c>
      <c r="S841" s="7">
        <f t="shared" si="91"/>
        <v>-0.43361434480908417</v>
      </c>
      <c r="T841" s="7"/>
      <c r="V841" s="7">
        <f t="shared" si="92"/>
        <v>-0.43361434480908417</v>
      </c>
      <c r="AF841" s="7"/>
    </row>
    <row r="842" spans="7:32" x14ac:dyDescent="0.35">
      <c r="G842" s="7">
        <v>1946.08333333325</v>
      </c>
      <c r="H842" s="1">
        <v>1.0402801278983878</v>
      </c>
      <c r="S842" s="7">
        <f t="shared" si="91"/>
        <v>0.23426097828646822</v>
      </c>
      <c r="T842" s="7"/>
      <c r="V842" s="7">
        <f t="shared" si="92"/>
        <v>0.23426097828646822</v>
      </c>
      <c r="AF842" s="7"/>
    </row>
    <row r="843" spans="7:32" x14ac:dyDescent="0.35">
      <c r="G843" s="7">
        <v>1945.99999999992</v>
      </c>
      <c r="H843" s="1">
        <v>1.0706329747110126</v>
      </c>
      <c r="S843" s="7">
        <f t="shared" si="91"/>
        <v>1.0841507023636618</v>
      </c>
      <c r="T843" s="7"/>
      <c r="V843" s="7">
        <f t="shared" si="92"/>
        <v>1.0841507023636618</v>
      </c>
      <c r="AF843" s="7"/>
    </row>
    <row r="844" spans="7:32" x14ac:dyDescent="0.35">
      <c r="G844" s="7">
        <v>1945.9166666665899</v>
      </c>
      <c r="H844" s="1">
        <v>1.0808656824174458</v>
      </c>
      <c r="S844" s="7">
        <f t="shared" si="91"/>
        <v>1.3706698938869382</v>
      </c>
      <c r="T844" s="7"/>
      <c r="V844" s="7">
        <f t="shared" si="92"/>
        <v>1.3706698938869382</v>
      </c>
      <c r="AF844" s="7"/>
    </row>
    <row r="845" spans="7:32" x14ac:dyDescent="0.35">
      <c r="G845" s="7">
        <v>1945.83333333325</v>
      </c>
      <c r="H845" s="1">
        <v>1.0668789611648737</v>
      </c>
      <c r="S845" s="7">
        <f t="shared" si="91"/>
        <v>0.97903708463265526</v>
      </c>
      <c r="T845" s="7"/>
      <c r="V845" s="7">
        <f t="shared" si="92"/>
        <v>0.97903708463265526</v>
      </c>
      <c r="AF845" s="7"/>
    </row>
    <row r="846" spans="7:32" x14ac:dyDescent="0.35">
      <c r="G846" s="7">
        <v>1945.74999999992</v>
      </c>
      <c r="H846" s="1">
        <v>1.0571945293482545</v>
      </c>
      <c r="S846" s="7">
        <f t="shared" si="91"/>
        <v>0.70786979889893609</v>
      </c>
      <c r="T846" s="7"/>
      <c r="V846" s="7">
        <f t="shared" si="92"/>
        <v>0.70786979889893609</v>
      </c>
      <c r="AF846" s="7"/>
    </row>
    <row r="847" spans="7:32" x14ac:dyDescent="0.35">
      <c r="G847" s="7">
        <v>1945.6666666665899</v>
      </c>
      <c r="H847" s="1">
        <v>1.0386805092977309</v>
      </c>
      <c r="S847" s="7">
        <f t="shared" si="91"/>
        <v>0.18947112975814132</v>
      </c>
      <c r="T847" s="7"/>
      <c r="V847" s="7">
        <f t="shared" si="92"/>
        <v>0.18947112975814132</v>
      </c>
      <c r="AF847" s="7"/>
    </row>
    <row r="848" spans="7:32" x14ac:dyDescent="0.35">
      <c r="G848" s="7">
        <v>1945.58333333325</v>
      </c>
      <c r="H848" s="1">
        <v>1.0248233171420056</v>
      </c>
      <c r="S848" s="7">
        <f t="shared" si="91"/>
        <v>-0.19853482205312484</v>
      </c>
      <c r="T848" s="7"/>
      <c r="V848" s="7">
        <f t="shared" si="92"/>
        <v>-0.19853482205312484</v>
      </c>
      <c r="AF848" s="7"/>
    </row>
    <row r="849" spans="7:32" x14ac:dyDescent="0.35">
      <c r="G849" s="7">
        <v>1945.49999999992</v>
      </c>
      <c r="H849" s="1">
        <v>1.0176475107760148</v>
      </c>
      <c r="S849" s="7">
        <f t="shared" si="91"/>
        <v>-0.39945976758036428</v>
      </c>
      <c r="T849" s="7"/>
      <c r="V849" s="7">
        <f t="shared" si="92"/>
        <v>-0.39945976758036428</v>
      </c>
      <c r="AF849" s="7"/>
    </row>
    <row r="850" spans="7:32" x14ac:dyDescent="0.35">
      <c r="G850" s="7">
        <v>1945.4166666665899</v>
      </c>
      <c r="H850" s="1">
        <v>1.0059278154991589</v>
      </c>
      <c r="S850" s="7">
        <f t="shared" si="91"/>
        <v>-0.72761510162873233</v>
      </c>
      <c r="T850" s="7"/>
      <c r="V850" s="7">
        <f t="shared" si="92"/>
        <v>-0.72761510162873233</v>
      </c>
      <c r="AF850" s="7"/>
    </row>
    <row r="851" spans="7:32" x14ac:dyDescent="0.35">
      <c r="G851" s="7">
        <v>1945.33333333325</v>
      </c>
      <c r="H851" s="1">
        <v>1.0026266897145555</v>
      </c>
      <c r="S851" s="7">
        <f t="shared" si="91"/>
        <v>-0.82004771263027254</v>
      </c>
      <c r="T851" s="7"/>
      <c r="V851" s="7">
        <f t="shared" si="92"/>
        <v>-0.82004771263027254</v>
      </c>
      <c r="AF851" s="7"/>
    </row>
    <row r="852" spans="7:32" x14ac:dyDescent="0.35">
      <c r="G852" s="7">
        <v>1945.24999999992</v>
      </c>
      <c r="H852" s="1">
        <v>1.0031437464979889</v>
      </c>
      <c r="S852" s="7">
        <f t="shared" si="91"/>
        <v>-0.80556995211847549</v>
      </c>
      <c r="T852" s="7"/>
      <c r="V852" s="7">
        <f t="shared" si="92"/>
        <v>-0.80556995211847549</v>
      </c>
      <c r="AF852" s="7"/>
    </row>
    <row r="853" spans="7:32" x14ac:dyDescent="0.35">
      <c r="G853" s="7">
        <v>1945.1666666665899</v>
      </c>
      <c r="H853" s="1">
        <v>1.005685505169241</v>
      </c>
      <c r="S853" s="7">
        <f t="shared" si="91"/>
        <v>-0.73439987080396729</v>
      </c>
      <c r="T853" s="7"/>
      <c r="V853" s="7">
        <f t="shared" si="92"/>
        <v>-0.73439987080396729</v>
      </c>
      <c r="AF853" s="7"/>
    </row>
    <row r="854" spans="7:32" x14ac:dyDescent="0.35">
      <c r="G854" s="7">
        <v>1945.08333333325</v>
      </c>
      <c r="H854" s="1">
        <v>1.0438342207628126</v>
      </c>
      <c r="S854" s="7">
        <f t="shared" si="91"/>
        <v>0.33377675097617876</v>
      </c>
      <c r="T854" s="7"/>
      <c r="V854" s="7">
        <f t="shared" si="92"/>
        <v>0.33377675097617876</v>
      </c>
      <c r="AF854" s="7"/>
    </row>
    <row r="855" spans="7:32" x14ac:dyDescent="0.35">
      <c r="G855" s="7">
        <v>1944.99999999992</v>
      </c>
      <c r="H855" s="1">
        <v>1.0803942470331533</v>
      </c>
      <c r="S855" s="7">
        <f t="shared" si="91"/>
        <v>1.3574695476014644</v>
      </c>
      <c r="T855" s="7"/>
      <c r="V855" s="7">
        <f t="shared" si="92"/>
        <v>1.3574695476014644</v>
      </c>
      <c r="AF855" s="7"/>
    </row>
    <row r="856" spans="7:32" x14ac:dyDescent="0.35">
      <c r="G856" s="7">
        <v>1944.9166666666699</v>
      </c>
      <c r="H856" s="1">
        <v>1.0859182034732668</v>
      </c>
      <c r="S856" s="7">
        <f t="shared" si="91"/>
        <v>1.512142150263228</v>
      </c>
      <c r="T856" s="7"/>
      <c r="V856" s="7">
        <f t="shared" si="92"/>
        <v>1.512142150263228</v>
      </c>
      <c r="AF856" s="7"/>
    </row>
    <row r="857" spans="7:32" x14ac:dyDescent="0.35">
      <c r="G857" s="7">
        <v>1944.8333333333401</v>
      </c>
      <c r="H857" s="1">
        <v>1.0783073411808131</v>
      </c>
      <c r="S857" s="7">
        <f t="shared" si="91"/>
        <v>1.2990354952712284</v>
      </c>
      <c r="T857" s="7"/>
      <c r="V857" s="7">
        <f t="shared" si="92"/>
        <v>1.2990354952712284</v>
      </c>
      <c r="AF857" s="7"/>
    </row>
    <row r="858" spans="7:32" x14ac:dyDescent="0.35">
      <c r="G858" s="7">
        <v>1944.75000000001</v>
      </c>
      <c r="H858" s="1">
        <v>1.0949632000551865</v>
      </c>
      <c r="S858" s="7">
        <f t="shared" si="91"/>
        <v>1.7654050384773738</v>
      </c>
      <c r="T858" s="7"/>
      <c r="V858" s="7">
        <f t="shared" si="92"/>
        <v>1.7654050384773738</v>
      </c>
      <c r="AF858" s="7"/>
    </row>
    <row r="859" spans="7:32" x14ac:dyDescent="0.35">
      <c r="G859" s="7">
        <v>1944.6666666666799</v>
      </c>
      <c r="H859" s="1">
        <v>1.0965207684791334</v>
      </c>
      <c r="S859" s="7">
        <f t="shared" si="91"/>
        <v>1.8090174681855791</v>
      </c>
      <c r="T859" s="7"/>
      <c r="V859" s="7">
        <f t="shared" si="92"/>
        <v>1.8090174681855791</v>
      </c>
      <c r="AF859" s="7"/>
    </row>
    <row r="860" spans="7:32" x14ac:dyDescent="0.35">
      <c r="G860" s="7">
        <v>1944.5833333333501</v>
      </c>
      <c r="H860" s="1">
        <v>1.0883318407068951</v>
      </c>
      <c r="S860" s="7">
        <f t="shared" si="91"/>
        <v>1.5797247890573454</v>
      </c>
      <c r="T860" s="7"/>
      <c r="V860" s="7">
        <f t="shared" si="92"/>
        <v>1.5797247890573454</v>
      </c>
      <c r="AF860" s="7"/>
    </row>
    <row r="861" spans="7:32" x14ac:dyDescent="0.35">
      <c r="G861" s="7">
        <v>1944.50000000002</v>
      </c>
      <c r="H861" s="1">
        <v>1.0593827775133589</v>
      </c>
      <c r="S861" s="7">
        <f t="shared" si="91"/>
        <v>0.76914146941912576</v>
      </c>
      <c r="T861" s="7"/>
      <c r="V861" s="7">
        <f t="shared" si="92"/>
        <v>0.76914146941912576</v>
      </c>
      <c r="AF861" s="7"/>
    </row>
    <row r="862" spans="7:32" x14ac:dyDescent="0.35">
      <c r="G862" s="7">
        <v>1944.4166666666899</v>
      </c>
      <c r="H862" s="1">
        <v>1.03801662853209</v>
      </c>
      <c r="S862" s="7">
        <f t="shared" si="91"/>
        <v>0.17088224930769022</v>
      </c>
      <c r="T862" s="7"/>
      <c r="V862" s="7">
        <f t="shared" si="92"/>
        <v>0.17088224930769022</v>
      </c>
      <c r="AF862" s="7"/>
    </row>
    <row r="863" spans="7:32" x14ac:dyDescent="0.35">
      <c r="G863" s="7">
        <v>1944.3333333333601</v>
      </c>
      <c r="H863" s="1">
        <v>1.0321048367613543</v>
      </c>
      <c r="S863" s="7">
        <f t="shared" si="91"/>
        <v>5.3501294426593045E-3</v>
      </c>
      <c r="T863" s="7"/>
      <c r="V863" s="7">
        <f t="shared" si="92"/>
        <v>5.3501294426593045E-3</v>
      </c>
      <c r="AF863" s="7"/>
    </row>
    <row r="864" spans="7:32" x14ac:dyDescent="0.35">
      <c r="G864" s="7">
        <v>1944.25000000003</v>
      </c>
      <c r="H864" s="1">
        <v>1.0249330671580812</v>
      </c>
      <c r="S864" s="7">
        <f t="shared" si="91"/>
        <v>-0.19546178539676853</v>
      </c>
      <c r="T864" s="7"/>
      <c r="V864" s="7">
        <f t="shared" si="92"/>
        <v>-0.19546178539676853</v>
      </c>
      <c r="AF864" s="7"/>
    </row>
    <row r="865" spans="7:32" x14ac:dyDescent="0.35">
      <c r="G865" s="7">
        <v>1944.1666666666999</v>
      </c>
      <c r="H865" s="1">
        <v>1.0352293463633537</v>
      </c>
      <c r="S865" s="7">
        <f t="shared" si="91"/>
        <v>9.2837429066076893E-2</v>
      </c>
      <c r="T865" s="7"/>
      <c r="V865" s="7">
        <f t="shared" si="92"/>
        <v>9.2837429066076893E-2</v>
      </c>
      <c r="AF865" s="7"/>
    </row>
    <row r="866" spans="7:32" x14ac:dyDescent="0.35">
      <c r="G866" s="7">
        <v>1944.0833333333701</v>
      </c>
      <c r="H866" s="1">
        <v>1.0518491216394017</v>
      </c>
      <c r="S866" s="7">
        <f t="shared" si="91"/>
        <v>0.55819661961522438</v>
      </c>
      <c r="T866" s="7"/>
      <c r="V866" s="7">
        <f t="shared" si="92"/>
        <v>0.55819661961522438</v>
      </c>
      <c r="AF866" s="7"/>
    </row>
    <row r="867" spans="7:32" x14ac:dyDescent="0.35">
      <c r="G867" s="7">
        <v>1944.00000000004</v>
      </c>
      <c r="H867">
        <v>1.0634131674128564</v>
      </c>
      <c r="S867" s="7">
        <f t="shared" si="91"/>
        <v>0.88199371622000056</v>
      </c>
      <c r="T867" s="7"/>
      <c r="V867" s="7">
        <f t="shared" si="92"/>
        <v>0.88199371622000056</v>
      </c>
      <c r="AF867" s="7"/>
    </row>
    <row r="868" spans="7:32" x14ac:dyDescent="0.35">
      <c r="G868" s="7">
        <v>1943.9166666667099</v>
      </c>
      <c r="H868">
        <v>1.0759261523523136</v>
      </c>
      <c r="S868" s="7">
        <f t="shared" si="91"/>
        <v>1.2323614225253612</v>
      </c>
      <c r="T868" s="7"/>
      <c r="V868" s="7">
        <f t="shared" si="92"/>
        <v>1.2323614225253612</v>
      </c>
    </row>
    <row r="869" spans="7:32" x14ac:dyDescent="0.35">
      <c r="G869" s="7">
        <v>1943.8333333333801</v>
      </c>
      <c r="H869">
        <v>1.0595837204768424</v>
      </c>
      <c r="S869" s="7">
        <f t="shared" si="91"/>
        <v>0.77476793868721461</v>
      </c>
      <c r="T869" s="7"/>
      <c r="V869" s="7">
        <f t="shared" si="92"/>
        <v>0.77476793868721461</v>
      </c>
    </row>
    <row r="870" spans="7:32" x14ac:dyDescent="0.35">
      <c r="G870" s="7">
        <v>1943.75000000005</v>
      </c>
      <c r="H870">
        <v>1.0604358815007175</v>
      </c>
      <c r="S870" s="7">
        <f t="shared" si="91"/>
        <v>0.79862872848138289</v>
      </c>
      <c r="T870" s="7"/>
      <c r="V870" s="7">
        <f t="shared" si="92"/>
        <v>0.79862872848138289</v>
      </c>
    </row>
    <row r="871" spans="7:32" x14ac:dyDescent="0.35">
      <c r="G871" s="7">
        <v>1943.6666666667199</v>
      </c>
      <c r="H871">
        <v>1.0516173570072538</v>
      </c>
      <c r="S871" s="7">
        <f t="shared" si="91"/>
        <v>0.5517071334565451</v>
      </c>
      <c r="T871" s="7"/>
      <c r="V871" s="7">
        <f t="shared" si="92"/>
        <v>0.5517071334565451</v>
      </c>
    </row>
    <row r="872" spans="7:32" x14ac:dyDescent="0.35">
      <c r="G872" s="7">
        <v>1943.5833333333901</v>
      </c>
      <c r="H872">
        <v>1.0450130183045814</v>
      </c>
      <c r="S872" s="7">
        <f t="shared" si="91"/>
        <v>0.36678347102788778</v>
      </c>
      <c r="T872" s="7"/>
      <c r="V872" s="7">
        <f t="shared" si="92"/>
        <v>0.36678347102788778</v>
      </c>
    </row>
    <row r="873" spans="7:32" x14ac:dyDescent="0.35">
      <c r="G873" s="7">
        <v>1943.50000000006</v>
      </c>
      <c r="H873">
        <v>1.0389446789837069</v>
      </c>
      <c r="S873" s="7">
        <f t="shared" si="91"/>
        <v>0.19686796811434781</v>
      </c>
      <c r="T873" s="7"/>
      <c r="V873" s="7">
        <f t="shared" si="92"/>
        <v>0.19686796811434781</v>
      </c>
    </row>
    <row r="874" spans="7:32" x14ac:dyDescent="0.35">
      <c r="G874" s="7">
        <v>1943.41666666673</v>
      </c>
      <c r="H874">
        <v>1.0265693013744459</v>
      </c>
      <c r="S874" s="7">
        <f t="shared" si="91"/>
        <v>-0.14964668754922614</v>
      </c>
      <c r="T874" s="7"/>
      <c r="V874" s="7">
        <f t="shared" si="92"/>
        <v>-0.14964668754922614</v>
      </c>
    </row>
    <row r="875" spans="7:32" x14ac:dyDescent="0.35">
      <c r="G875" s="7">
        <v>1943.3333333334001</v>
      </c>
      <c r="H875">
        <v>1.0201915653740428</v>
      </c>
      <c r="S875" s="7">
        <f t="shared" si="91"/>
        <v>-0.32822539955871327</v>
      </c>
      <c r="T875" s="7"/>
      <c r="V875" s="7">
        <f t="shared" si="92"/>
        <v>-0.32822539955871327</v>
      </c>
    </row>
    <row r="876" spans="7:32" x14ac:dyDescent="0.35">
      <c r="G876" s="7">
        <v>1943.25000000007</v>
      </c>
      <c r="H876">
        <v>1.0136714210107596</v>
      </c>
      <c r="S876" s="7">
        <f t="shared" si="91"/>
        <v>-0.510791592708983</v>
      </c>
      <c r="T876" s="7"/>
      <c r="V876" s="7">
        <f t="shared" si="92"/>
        <v>-0.510791592708983</v>
      </c>
    </row>
    <row r="877" spans="7:32" x14ac:dyDescent="0.35">
      <c r="G877" s="7">
        <v>1943.16666666674</v>
      </c>
      <c r="H877">
        <v>1.0155954358027386</v>
      </c>
      <c r="S877" s="7">
        <f t="shared" ref="S877:S891" si="93">STANDARDIZE(H877, AVERAGE($H$4:$H$891), _xlfn.STDEV.P($H$4:$H$891))</f>
        <v>-0.4569185438061914</v>
      </c>
      <c r="T877" s="7"/>
      <c r="V877" s="7">
        <f t="shared" si="92"/>
        <v>-0.4569185438061914</v>
      </c>
    </row>
    <row r="878" spans="7:32" x14ac:dyDescent="0.35">
      <c r="G878" s="7">
        <v>1943.0833333334101</v>
      </c>
      <c r="H878">
        <v>1.0365098523578617</v>
      </c>
      <c r="S878" s="7">
        <f t="shared" si="93"/>
        <v>0.12869201934783436</v>
      </c>
      <c r="T878" s="7"/>
      <c r="V878" s="7">
        <f t="shared" si="92"/>
        <v>0.12869201934783436</v>
      </c>
    </row>
    <row r="879" spans="7:32" x14ac:dyDescent="0.35">
      <c r="G879" s="7">
        <v>1943.00000000008</v>
      </c>
      <c r="H879">
        <v>1.0505967453793796</v>
      </c>
      <c r="S879" s="7">
        <f t="shared" si="93"/>
        <v>0.52312967117899856</v>
      </c>
      <c r="T879" s="7"/>
      <c r="V879" s="7">
        <f t="shared" si="92"/>
        <v>0.52312967117899856</v>
      </c>
    </row>
    <row r="880" spans="7:32" x14ac:dyDescent="0.35">
      <c r="G880" s="7">
        <v>1942.91666666675</v>
      </c>
      <c r="H880">
        <v>1.0613856143213991</v>
      </c>
      <c r="S880" s="7">
        <f t="shared" si="93"/>
        <v>0.82522156077480635</v>
      </c>
      <c r="T880" s="7"/>
      <c r="V880" s="7">
        <f t="shared" si="92"/>
        <v>0.82522156077480635</v>
      </c>
    </row>
    <row r="881" spans="7:22" x14ac:dyDescent="0.35">
      <c r="G881" s="7">
        <v>1942.8333333334199</v>
      </c>
      <c r="H881">
        <v>1.0845760028734026</v>
      </c>
      <c r="S881" s="7">
        <f t="shared" si="93"/>
        <v>1.4745600906786098</v>
      </c>
      <c r="T881" s="7"/>
      <c r="V881" s="7">
        <f t="shared" si="92"/>
        <v>1.4745600906786098</v>
      </c>
    </row>
    <row r="882" spans="7:22" x14ac:dyDescent="0.35">
      <c r="G882" s="7">
        <v>1942.75000000009</v>
      </c>
      <c r="H882">
        <v>1.094019885368015</v>
      </c>
      <c r="S882" s="7">
        <f t="shared" si="93"/>
        <v>1.7389919160395553</v>
      </c>
      <c r="T882" s="7"/>
      <c r="V882" s="7">
        <f t="shared" si="92"/>
        <v>1.7389919160395553</v>
      </c>
    </row>
    <row r="883" spans="7:22" x14ac:dyDescent="0.35">
      <c r="G883" s="7">
        <v>1942.66666666676</v>
      </c>
      <c r="H883">
        <v>1.0915996799811394</v>
      </c>
      <c r="S883" s="7">
        <f t="shared" si="93"/>
        <v>1.6712253667876975</v>
      </c>
      <c r="T883" s="7"/>
      <c r="V883" s="7">
        <f t="shared" si="92"/>
        <v>1.6712253667876975</v>
      </c>
    </row>
    <row r="884" spans="7:22" x14ac:dyDescent="0.35">
      <c r="G884" s="7">
        <v>1942.5833333334299</v>
      </c>
      <c r="H884">
        <v>1.0566512351805577</v>
      </c>
      <c r="S884" s="7">
        <f t="shared" si="93"/>
        <v>0.69265738297211932</v>
      </c>
      <c r="T884" s="7"/>
      <c r="V884" s="7">
        <f t="shared" si="92"/>
        <v>0.69265738297211932</v>
      </c>
    </row>
    <row r="885" spans="7:22" x14ac:dyDescent="0.35">
      <c r="G885" s="7">
        <v>1942.5000000001</v>
      </c>
      <c r="H885">
        <v>1.0484257392987149</v>
      </c>
      <c r="S885" s="7">
        <f t="shared" si="93"/>
        <v>0.46234078471123397</v>
      </c>
      <c r="T885" s="7"/>
      <c r="V885" s="7">
        <f t="shared" si="92"/>
        <v>0.46234078471123397</v>
      </c>
    </row>
    <row r="886" spans="7:22" x14ac:dyDescent="0.35">
      <c r="G886" s="7">
        <v>1942.41666666677</v>
      </c>
      <c r="H886">
        <v>1.0304501734732503</v>
      </c>
      <c r="S886" s="7">
        <f t="shared" si="93"/>
        <v>-4.0980988493286075E-2</v>
      </c>
      <c r="T886" s="7"/>
      <c r="V886" s="7">
        <f t="shared" si="92"/>
        <v>-4.0980988493286075E-2</v>
      </c>
    </row>
    <row r="887" spans="7:22" x14ac:dyDescent="0.35">
      <c r="G887" s="7">
        <v>1942.3333333334399</v>
      </c>
      <c r="H887">
        <v>1.0209980491361799</v>
      </c>
      <c r="S887" s="7">
        <f t="shared" si="93"/>
        <v>-0.30564358816201936</v>
      </c>
      <c r="T887" s="7"/>
      <c r="V887" s="7">
        <f t="shared" si="92"/>
        <v>-0.30564358816201936</v>
      </c>
    </row>
    <row r="888" spans="7:22" x14ac:dyDescent="0.35">
      <c r="G888" s="7">
        <v>1942.25000000011</v>
      </c>
      <c r="H888">
        <v>1.0161123880124847</v>
      </c>
      <c r="S888" s="7">
        <f t="shared" si="93"/>
        <v>-0.44244371139213634</v>
      </c>
      <c r="T888" s="7"/>
      <c r="V888" s="7">
        <f t="shared" si="92"/>
        <v>-0.44244371139213634</v>
      </c>
    </row>
    <row r="889" spans="7:22" x14ac:dyDescent="0.35">
      <c r="G889" s="7">
        <v>1942.16666666678</v>
      </c>
      <c r="H889">
        <v>1.0198756413824444</v>
      </c>
      <c r="S889" s="7">
        <f t="shared" si="93"/>
        <v>-0.33707137554595606</v>
      </c>
      <c r="T889" s="7"/>
      <c r="V889" s="7">
        <f t="shared" si="92"/>
        <v>-0.33707137554595606</v>
      </c>
    </row>
    <row r="890" spans="7:22" x14ac:dyDescent="0.35">
      <c r="G890" s="7">
        <v>1942.0833333334499</v>
      </c>
      <c r="H890">
        <v>1.0396206069842486</v>
      </c>
      <c r="S890" s="7">
        <f t="shared" si="93"/>
        <v>0.21579417511637164</v>
      </c>
      <c r="T890" s="7"/>
      <c r="V890" s="7">
        <f t="shared" si="92"/>
        <v>0.21579417511637164</v>
      </c>
    </row>
    <row r="891" spans="7:22" x14ac:dyDescent="0.35">
      <c r="G891" s="7">
        <v>1942.0000000001201</v>
      </c>
      <c r="H891">
        <v>1.0556268849085988</v>
      </c>
      <c r="S891" s="7">
        <f t="shared" si="93"/>
        <v>0.66397523742683073</v>
      </c>
      <c r="T891" s="7"/>
      <c r="V891" s="7">
        <f t="shared" si="92"/>
        <v>0.66397523742683073</v>
      </c>
    </row>
  </sheetData>
  <mergeCells count="10">
    <mergeCell ref="AO2:AP2"/>
    <mergeCell ref="AR2:AS2"/>
    <mergeCell ref="AB3:AC3"/>
    <mergeCell ref="AF3:AG3"/>
    <mergeCell ref="C2:D2"/>
    <mergeCell ref="E2:F2"/>
    <mergeCell ref="G2:H2"/>
    <mergeCell ref="I2:J2"/>
    <mergeCell ref="AI2:AJ2"/>
    <mergeCell ref="AL2:A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F6FD-D942-4980-8DFD-1CACA72DA83A}">
  <dimension ref="A1:K421"/>
  <sheetViews>
    <sheetView workbookViewId="0">
      <selection activeCell="M21" sqref="M21"/>
    </sheetView>
  </sheetViews>
  <sheetFormatPr defaultRowHeight="14.5" x14ac:dyDescent="0.35"/>
  <cols>
    <col min="2" max="2" width="9.453125" bestFit="1" customWidth="1"/>
    <col min="3" max="3" width="11.81640625" bestFit="1" customWidth="1"/>
    <col min="4" max="4" width="14" bestFit="1" customWidth="1"/>
    <col min="5" max="5" width="12.453125" bestFit="1" customWidth="1"/>
    <col min="7" max="7" width="10.08984375" bestFit="1" customWidth="1"/>
    <col min="8" max="8" width="14.453125" bestFit="1" customWidth="1"/>
  </cols>
  <sheetData>
    <row r="1" spans="1:11" x14ac:dyDescent="0.35">
      <c r="A1" t="s">
        <v>0</v>
      </c>
      <c r="B1" t="s">
        <v>1</v>
      </c>
      <c r="D1" t="s">
        <v>2</v>
      </c>
      <c r="E1" t="s">
        <v>3</v>
      </c>
      <c r="G1" t="s">
        <v>27</v>
      </c>
      <c r="H1" t="s">
        <v>4</v>
      </c>
      <c r="J1" t="s">
        <v>5</v>
      </c>
      <c r="K1" t="s">
        <v>6</v>
      </c>
    </row>
    <row r="2" spans="1:11" x14ac:dyDescent="0.35">
      <c r="A2" s="1">
        <v>1981.0000000013999</v>
      </c>
      <c r="B2">
        <v>204.2</v>
      </c>
      <c r="C2" cm="1">
        <f t="array" ref="C2">TREND($B$2:$B$421, $A$2:$A$421, A2)</f>
        <v>284.59211978272288</v>
      </c>
      <c r="D2">
        <f>B2 - C2</f>
        <v>-80.392119782722887</v>
      </c>
      <c r="E2">
        <f>(D2 - AVERAGE($D$2:$D$421)) / _xlfn.STDEV.S($D$2:$D$421)</f>
        <v>-0.56752197170118668</v>
      </c>
      <c r="G2" s="7">
        <v>1980.99999999998</v>
      </c>
      <c r="H2">
        <v>1.0405149380294523</v>
      </c>
      <c r="I2" cm="1">
        <f t="array" ref="I2">TREND($H$2:$H$421, $A$2:$A$421, A2)</f>
        <v>1.0334008327056652</v>
      </c>
      <c r="J2">
        <f>H2 - I2</f>
        <v>7.1141053237870899E-3</v>
      </c>
      <c r="K2">
        <f>(J2 - AVERAGE($J$2:$J$421)) / _xlfn.STDEV.S($J$2:$J$421)</f>
        <v>0.26014767877000411</v>
      </c>
    </row>
    <row r="3" spans="1:11" x14ac:dyDescent="0.35">
      <c r="A3" s="1">
        <v>1981.08333333473</v>
      </c>
      <c r="B3">
        <v>88.46</v>
      </c>
      <c r="C3" cm="1">
        <f t="array" ref="C3">TREND($B$2:$B$421, $A$2:$A$421, A3)</f>
        <v>284.9619545331625</v>
      </c>
      <c r="D3">
        <f t="shared" ref="D3:D66" si="0">B3 - C3</f>
        <v>-196.50195453316252</v>
      </c>
      <c r="E3">
        <f t="shared" ref="E3:E66" si="1">(D3 - AVERAGE($D$2:$D$421)) / _xlfn.STDEV.S($D$2:$D$421)</f>
        <v>-1.3871903985266334</v>
      </c>
      <c r="G3" s="7">
        <v>1981.0833333333201</v>
      </c>
      <c r="H3">
        <v>1.0220411396660058</v>
      </c>
      <c r="I3" cm="1">
        <f t="array" ref="I3">TREND($H$2:$H$421, $A$2:$A$421, A3)</f>
        <v>1.033291857996379</v>
      </c>
      <c r="J3">
        <f t="shared" ref="J3:J66" si="2">H3 - I3</f>
        <v>-1.1250718330373166E-2</v>
      </c>
      <c r="K3">
        <f t="shared" ref="K3:K66" si="3">(J3 - AVERAGE($J$2:$J$421)) / _xlfn.STDEV.S($J$2:$J$421)</f>
        <v>-0.41141480550696696</v>
      </c>
    </row>
    <row r="4" spans="1:11" x14ac:dyDescent="0.35">
      <c r="A4" s="1">
        <v>1981.1666666680601</v>
      </c>
      <c r="B4">
        <v>97.09</v>
      </c>
      <c r="C4" cm="1">
        <f t="array" ref="C4">TREND($B$2:$B$421, $A$2:$A$421, A4)</f>
        <v>285.33178928360394</v>
      </c>
      <c r="D4">
        <f t="shared" si="0"/>
        <v>-188.24178928360394</v>
      </c>
      <c r="E4">
        <f t="shared" si="1"/>
        <v>-1.3288783987724673</v>
      </c>
      <c r="G4" s="7">
        <v>1981.1666666666499</v>
      </c>
      <c r="H4">
        <v>1.0131913810712367</v>
      </c>
      <c r="I4" cm="1">
        <f t="array" ref="I4">TREND($H$2:$H$421, $A$2:$A$421, A4)</f>
        <v>1.0331828832870928</v>
      </c>
      <c r="J4">
        <f t="shared" si="2"/>
        <v>-1.9991502215856105E-2</v>
      </c>
      <c r="K4">
        <f t="shared" si="3"/>
        <v>-0.73104665448109463</v>
      </c>
    </row>
    <row r="5" spans="1:11" x14ac:dyDescent="0.35">
      <c r="A5" s="1">
        <v>1981.2500000013899</v>
      </c>
      <c r="B5">
        <v>106</v>
      </c>
      <c r="C5" cm="1">
        <f t="array" ref="C5">TREND($B$2:$B$421, $A$2:$A$421, A5)</f>
        <v>285.70162403404356</v>
      </c>
      <c r="D5">
        <f t="shared" si="0"/>
        <v>-179.70162403404356</v>
      </c>
      <c r="E5">
        <f t="shared" si="1"/>
        <v>-1.2685897606051477</v>
      </c>
      <c r="G5" s="7">
        <v>1981.24999999998</v>
      </c>
      <c r="H5">
        <v>1.0106932650075804</v>
      </c>
      <c r="I5" cm="1">
        <f t="array" ref="I5">TREND($H$2:$H$421, $A$2:$A$421, A5)</f>
        <v>1.0330739085778067</v>
      </c>
      <c r="J5">
        <f t="shared" si="2"/>
        <v>-2.2380643570226288E-2</v>
      </c>
      <c r="K5">
        <f t="shared" si="3"/>
        <v>-0.81841246498079001</v>
      </c>
    </row>
    <row r="6" spans="1:11" x14ac:dyDescent="0.35">
      <c r="A6" s="1">
        <v>1981.33333333472</v>
      </c>
      <c r="B6">
        <v>219.4</v>
      </c>
      <c r="C6" cm="1">
        <f t="array" ref="C6">TREND($B$2:$B$421, $A$2:$A$421, A6)</f>
        <v>286.07145878448318</v>
      </c>
      <c r="D6">
        <f t="shared" si="0"/>
        <v>-66.671458784483178</v>
      </c>
      <c r="E6">
        <f t="shared" si="1"/>
        <v>-0.47066202319118483</v>
      </c>
      <c r="G6" s="7">
        <v>1981.3333333333201</v>
      </c>
      <c r="H6">
        <v>1.0208803238065098</v>
      </c>
      <c r="I6" cm="1">
        <f t="array" ref="I6">TREND($H$2:$H$421, $A$2:$A$421, A6)</f>
        <v>1.0329649338685205</v>
      </c>
      <c r="J6">
        <f t="shared" si="2"/>
        <v>-1.208461006201067E-2</v>
      </c>
      <c r="K6">
        <f t="shared" si="3"/>
        <v>-0.44190844995803391</v>
      </c>
    </row>
    <row r="7" spans="1:11" x14ac:dyDescent="0.35">
      <c r="A7" s="1">
        <v>1981.4166666680501</v>
      </c>
      <c r="B7">
        <v>351.2</v>
      </c>
      <c r="C7" cm="1">
        <f t="array" ref="C7">TREND($B$2:$B$421, $A$2:$A$421, A7)</f>
        <v>286.44129353492463</v>
      </c>
      <c r="D7">
        <f t="shared" si="0"/>
        <v>64.758706465075363</v>
      </c>
      <c r="E7">
        <f t="shared" si="1"/>
        <v>0.45715909565771823</v>
      </c>
      <c r="G7" s="7">
        <v>1981.4166666666499</v>
      </c>
      <c r="H7">
        <v>1.0211801241097858</v>
      </c>
      <c r="I7" cm="1">
        <f t="array" ref="I7">TREND($H$2:$H$421, $A$2:$A$421, A7)</f>
        <v>1.0328559591592339</v>
      </c>
      <c r="J7">
        <f t="shared" si="2"/>
        <v>-1.1675835049448136E-2</v>
      </c>
      <c r="K7">
        <f t="shared" si="3"/>
        <v>-0.4269604184323047</v>
      </c>
    </row>
    <row r="8" spans="1:11" x14ac:dyDescent="0.35">
      <c r="A8" s="1">
        <v>1981.5000000013799</v>
      </c>
      <c r="B8">
        <v>385.8</v>
      </c>
      <c r="C8" cm="1">
        <f t="array" ref="C8">TREND($B$2:$B$421, $A$2:$A$421, A8)</f>
        <v>286.81112828536425</v>
      </c>
      <c r="D8">
        <f t="shared" si="0"/>
        <v>98.988871714635764</v>
      </c>
      <c r="E8">
        <f t="shared" si="1"/>
        <v>0.69880430823068684</v>
      </c>
      <c r="G8" s="7">
        <v>1981.49999999998</v>
      </c>
      <c r="H8">
        <v>1.0346439511104901</v>
      </c>
      <c r="I8" cm="1">
        <f t="array" ref="I8">TREND($H$2:$H$421, $A$2:$A$421, A8)</f>
        <v>1.0327469844499482</v>
      </c>
      <c r="J8">
        <f t="shared" si="2"/>
        <v>1.8969666605419544E-3</v>
      </c>
      <c r="K8">
        <f t="shared" si="3"/>
        <v>6.9368030269940942E-2</v>
      </c>
    </row>
    <row r="9" spans="1:11" x14ac:dyDescent="0.35">
      <c r="A9" s="1">
        <v>1981.58333333471</v>
      </c>
      <c r="B9">
        <v>346.6</v>
      </c>
      <c r="C9" cm="1">
        <f t="array" ref="C9">TREND($B$2:$B$421, $A$2:$A$421, A9)</f>
        <v>287.18096303580387</v>
      </c>
      <c r="D9">
        <f t="shared" si="0"/>
        <v>59.419036964196152</v>
      </c>
      <c r="E9">
        <f t="shared" si="1"/>
        <v>0.41946411048302862</v>
      </c>
      <c r="G9" s="7">
        <v>1981.5833333333201</v>
      </c>
      <c r="H9">
        <v>1.0520387840443313</v>
      </c>
      <c r="I9" cm="1">
        <f t="array" ref="I9">TREND($H$2:$H$421, $A$2:$A$421, A9)</f>
        <v>1.032638009740662</v>
      </c>
      <c r="J9">
        <f t="shared" si="2"/>
        <v>1.9400774303669266E-2</v>
      </c>
      <c r="K9">
        <f t="shared" si="3"/>
        <v>0.70944499297259811</v>
      </c>
    </row>
    <row r="10" spans="1:11" x14ac:dyDescent="0.35">
      <c r="A10" s="1">
        <v>1981.6666666680401</v>
      </c>
      <c r="B10">
        <v>310</v>
      </c>
      <c r="C10" cm="1">
        <f t="array" ref="C10">TREND($B$2:$B$421, $A$2:$A$421, A10)</f>
        <v>287.55079778624531</v>
      </c>
      <c r="D10">
        <f t="shared" si="0"/>
        <v>22.449202213754688</v>
      </c>
      <c r="E10">
        <f t="shared" si="1"/>
        <v>0.1584784122859485</v>
      </c>
      <c r="G10" s="7">
        <v>1981.6666666666499</v>
      </c>
      <c r="H10">
        <v>1.061483460477288</v>
      </c>
      <c r="I10" cm="1">
        <f t="array" ref="I10">TREND($H$2:$H$421, $A$2:$A$421, A10)</f>
        <v>1.0325290350313754</v>
      </c>
      <c r="J10">
        <f t="shared" si="2"/>
        <v>2.8954425445912646E-2</v>
      </c>
      <c r="K10">
        <f t="shared" si="3"/>
        <v>1.0588016661333053</v>
      </c>
    </row>
    <row r="11" spans="1:11" x14ac:dyDescent="0.35">
      <c r="A11" s="1">
        <v>1981.7500000013699</v>
      </c>
      <c r="B11">
        <v>303.7</v>
      </c>
      <c r="C11" cm="1">
        <f t="array" ref="C11">TREND($B$2:$B$421, $A$2:$A$421, A11)</f>
        <v>287.92063253668493</v>
      </c>
      <c r="D11">
        <f t="shared" si="0"/>
        <v>15.779367463315054</v>
      </c>
      <c r="E11">
        <f t="shared" si="1"/>
        <v>0.11139322808230938</v>
      </c>
      <c r="G11" s="7">
        <v>1981.74999999998</v>
      </c>
      <c r="H11">
        <v>1.0746828812652476</v>
      </c>
      <c r="I11" cm="1">
        <f t="array" ref="I11">TREND($H$2:$H$421, $A$2:$A$421, A11)</f>
        <v>1.0324200603220897</v>
      </c>
      <c r="J11">
        <f t="shared" si="2"/>
        <v>4.2262820943157919E-2</v>
      </c>
      <c r="K11">
        <f t="shared" si="3"/>
        <v>1.5454613428161175</v>
      </c>
    </row>
    <row r="12" spans="1:11" x14ac:dyDescent="0.35">
      <c r="A12" s="1">
        <v>1981.8333333347</v>
      </c>
      <c r="B12">
        <v>320.60000000000002</v>
      </c>
      <c r="C12" cm="1">
        <f t="array" ref="C12">TREND($B$2:$B$421, $A$2:$A$421, A12)</f>
        <v>288.29046728712456</v>
      </c>
      <c r="D12">
        <f t="shared" si="0"/>
        <v>32.309532712875466</v>
      </c>
      <c r="E12">
        <f t="shared" si="1"/>
        <v>0.22808665525317653</v>
      </c>
      <c r="G12" s="7">
        <v>1981.8333333333201</v>
      </c>
      <c r="H12">
        <v>1.082280608462675</v>
      </c>
      <c r="I12" cm="1">
        <f t="array" ref="I12">TREND($H$2:$H$421, $A$2:$A$421, A12)</f>
        <v>1.032311085612803</v>
      </c>
      <c r="J12">
        <f t="shared" si="2"/>
        <v>4.9969522849871995E-2</v>
      </c>
      <c r="K12">
        <f t="shared" si="3"/>
        <v>1.8272790164033363</v>
      </c>
    </row>
    <row r="13" spans="1:11" x14ac:dyDescent="0.35">
      <c r="A13" s="1">
        <v>1981.9166666680301</v>
      </c>
      <c r="B13">
        <v>341.9</v>
      </c>
      <c r="C13" cm="1">
        <f t="array" ref="C13">TREND($B$2:$B$421, $A$2:$A$421, A13)</f>
        <v>288.660302037566</v>
      </c>
      <c r="D13">
        <f t="shared" si="0"/>
        <v>53.239697962433979</v>
      </c>
      <c r="E13">
        <f t="shared" si="1"/>
        <v>0.37584154320195384</v>
      </c>
      <c r="G13" s="7">
        <v>1981.9166666666499</v>
      </c>
      <c r="H13">
        <v>1.0859090972379466</v>
      </c>
      <c r="I13" cm="1">
        <f t="array" ref="I13">TREND($H$2:$H$421, $A$2:$A$421, A13)</f>
        <v>1.0322021109035169</v>
      </c>
      <c r="J13">
        <f t="shared" si="2"/>
        <v>5.3706986334429718E-2</v>
      </c>
      <c r="K13">
        <f t="shared" si="3"/>
        <v>1.9639500953012523</v>
      </c>
    </row>
    <row r="14" spans="1:11" x14ac:dyDescent="0.35">
      <c r="A14" s="1">
        <v>1982.0000000013599</v>
      </c>
      <c r="B14">
        <v>297.8</v>
      </c>
      <c r="C14" cm="1">
        <f t="array" ref="C14">TREND($B$2:$B$421, $A$2:$A$421, A14)</f>
        <v>289.03013678800562</v>
      </c>
      <c r="D14">
        <f t="shared" si="0"/>
        <v>8.7698632119943909</v>
      </c>
      <c r="E14">
        <f t="shared" si="1"/>
        <v>6.191017322433548E-2</v>
      </c>
      <c r="G14" s="7">
        <v>1981.99999999998</v>
      </c>
      <c r="H14">
        <v>1.0646811415892092</v>
      </c>
      <c r="I14" cm="1">
        <f t="array" ref="I14">TREND($H$2:$H$421, $A$2:$A$421, A14)</f>
        <v>1.0320931361942312</v>
      </c>
      <c r="J14">
        <f t="shared" si="2"/>
        <v>3.2588005394978081E-2</v>
      </c>
      <c r="K14">
        <f t="shared" si="3"/>
        <v>1.191673945408396</v>
      </c>
    </row>
    <row r="15" spans="1:11" x14ac:dyDescent="0.35">
      <c r="A15" s="1">
        <v>1982.08333333469</v>
      </c>
      <c r="B15">
        <v>188.5</v>
      </c>
      <c r="C15" cm="1">
        <f t="array" ref="C15">TREND($B$2:$B$421, $A$2:$A$421, A15)</f>
        <v>289.39997153844524</v>
      </c>
      <c r="D15">
        <f t="shared" si="0"/>
        <v>-100.89997153844524</v>
      </c>
      <c r="E15">
        <f t="shared" si="1"/>
        <v>-0.71229557009887767</v>
      </c>
      <c r="G15" s="7">
        <v>1982.0833333333201</v>
      </c>
      <c r="H15">
        <v>1.0224431745887967</v>
      </c>
      <c r="I15" cm="1">
        <f t="array" ref="I15">TREND($H$2:$H$421, $A$2:$A$421, A15)</f>
        <v>1.0319841614849445</v>
      </c>
      <c r="J15">
        <f t="shared" si="2"/>
        <v>-9.5409868961477962E-3</v>
      </c>
      <c r="K15">
        <f t="shared" si="3"/>
        <v>-0.34889356865562837</v>
      </c>
    </row>
    <row r="16" spans="1:11" x14ac:dyDescent="0.35">
      <c r="A16" s="1">
        <v>1982.1666666680201</v>
      </c>
      <c r="B16">
        <v>120.9</v>
      </c>
      <c r="C16" cm="1">
        <f t="array" ref="C16">TREND($B$2:$B$421, $A$2:$A$421, A16)</f>
        <v>289.76980628888668</v>
      </c>
      <c r="D16">
        <f t="shared" si="0"/>
        <v>-168.86980628888668</v>
      </c>
      <c r="E16">
        <f t="shared" si="1"/>
        <v>-1.1921233783222371</v>
      </c>
      <c r="G16" s="7">
        <v>1982.1666666666499</v>
      </c>
      <c r="H16">
        <v>0.99144154989259614</v>
      </c>
      <c r="I16" cm="1">
        <f t="array" ref="I16">TREND($H$2:$H$421, $A$2:$A$421, A16)</f>
        <v>1.0318751867756584</v>
      </c>
      <c r="J16">
        <f t="shared" si="2"/>
        <v>-4.0433636883062229E-2</v>
      </c>
      <c r="K16">
        <f t="shared" si="3"/>
        <v>-1.4785719778687461</v>
      </c>
    </row>
    <row r="17" spans="1:11" x14ac:dyDescent="0.35">
      <c r="A17" s="1">
        <v>1982.2500000013499</v>
      </c>
      <c r="B17">
        <v>149.6</v>
      </c>
      <c r="C17" cm="1">
        <f t="array" ref="C17">TREND($B$2:$B$421, $A$2:$A$421, A17)</f>
        <v>290.13964103932631</v>
      </c>
      <c r="D17">
        <f t="shared" si="0"/>
        <v>-140.53964103932631</v>
      </c>
      <c r="E17">
        <f t="shared" si="1"/>
        <v>-0.9921287608833026</v>
      </c>
      <c r="G17" s="7">
        <v>1982.24999999998</v>
      </c>
      <c r="H17">
        <v>0.98560955935495487</v>
      </c>
      <c r="I17" cm="1">
        <f t="array" ref="I17">TREND($H$2:$H$421, $A$2:$A$421, A17)</f>
        <v>1.0317662120663722</v>
      </c>
      <c r="J17">
        <f t="shared" si="2"/>
        <v>-4.6156652711417334E-2</v>
      </c>
      <c r="K17">
        <f t="shared" si="3"/>
        <v>-1.6878504767872984</v>
      </c>
    </row>
    <row r="18" spans="1:11" x14ac:dyDescent="0.35">
      <c r="A18" s="1">
        <v>1982.33333333468</v>
      </c>
      <c r="B18">
        <v>242.5</v>
      </c>
      <c r="C18" cm="1">
        <f t="array" ref="C18">TREND($B$2:$B$421, $A$2:$A$421, A18)</f>
        <v>290.50947578976593</v>
      </c>
      <c r="D18">
        <f t="shared" si="0"/>
        <v>-48.009475789765929</v>
      </c>
      <c r="E18">
        <f t="shared" si="1"/>
        <v>-0.33891919300284706</v>
      </c>
      <c r="G18" s="7">
        <v>1982.3333333333201</v>
      </c>
      <c r="H18">
        <v>0.99579417884311439</v>
      </c>
      <c r="I18" cm="1">
        <f t="array" ref="I18">TREND($H$2:$H$421, $A$2:$A$421, A18)</f>
        <v>1.031657237357086</v>
      </c>
      <c r="J18">
        <f t="shared" si="2"/>
        <v>-3.5863058513971646E-2</v>
      </c>
      <c r="K18">
        <f t="shared" si="3"/>
        <v>-1.3114356621637091</v>
      </c>
    </row>
    <row r="19" spans="1:11" x14ac:dyDescent="0.35">
      <c r="A19" s="1">
        <v>1982.4166666680101</v>
      </c>
      <c r="B19">
        <v>352.6</v>
      </c>
      <c r="C19" cm="1">
        <f t="array" ref="C19">TREND($B$2:$B$421, $A$2:$A$421, A19)</f>
        <v>290.87931054020737</v>
      </c>
      <c r="D19">
        <f t="shared" si="0"/>
        <v>61.720689459792652</v>
      </c>
      <c r="E19">
        <f t="shared" si="1"/>
        <v>0.43571244882766058</v>
      </c>
      <c r="G19" s="7">
        <v>1982.4166666666499</v>
      </c>
      <c r="H19">
        <v>1.0064306909583698</v>
      </c>
      <c r="I19" cm="1">
        <f t="array" ref="I19">TREND($H$2:$H$421, $A$2:$A$421, A19)</f>
        <v>1.0315482626477999</v>
      </c>
      <c r="J19">
        <f t="shared" si="2"/>
        <v>-2.5117571689430074E-2</v>
      </c>
      <c r="K19">
        <f t="shared" si="3"/>
        <v>-0.91849609669067678</v>
      </c>
    </row>
    <row r="20" spans="1:11" x14ac:dyDescent="0.35">
      <c r="A20" s="1">
        <v>1982.5000000013399</v>
      </c>
      <c r="B20">
        <v>348.8</v>
      </c>
      <c r="C20" cm="1">
        <f t="array" ref="C20">TREND($B$2:$B$421, $A$2:$A$421, A20)</f>
        <v>291.24914529064699</v>
      </c>
      <c r="D20">
        <f t="shared" si="0"/>
        <v>57.550854709353018</v>
      </c>
      <c r="E20">
        <f t="shared" si="1"/>
        <v>0.4062758218842053</v>
      </c>
      <c r="G20" s="7">
        <v>1982.49999999998</v>
      </c>
      <c r="H20">
        <v>1.0153907717481609</v>
      </c>
      <c r="I20" cm="1">
        <f t="array" ref="I20">TREND($H$2:$H$421, $A$2:$A$421, A20)</f>
        <v>1.0314392879385137</v>
      </c>
      <c r="J20">
        <f t="shared" si="2"/>
        <v>-1.6048516190352746E-2</v>
      </c>
      <c r="K20">
        <f t="shared" si="3"/>
        <v>-0.58686005402024222</v>
      </c>
    </row>
    <row r="21" spans="1:11" x14ac:dyDescent="0.35">
      <c r="A21" s="1">
        <v>1982.58333333467</v>
      </c>
      <c r="B21">
        <v>220.8</v>
      </c>
      <c r="C21" cm="1">
        <f t="array" ref="C21">TREND($B$2:$B$421, $A$2:$A$421, A21)</f>
        <v>291.61898004108662</v>
      </c>
      <c r="D21">
        <f t="shared" si="0"/>
        <v>-70.818980041086604</v>
      </c>
      <c r="E21">
        <f t="shared" si="1"/>
        <v>-0.4999411297451829</v>
      </c>
      <c r="G21" s="7">
        <v>1982.5833333333201</v>
      </c>
      <c r="H21">
        <v>1.030254598296285</v>
      </c>
      <c r="I21" cm="1">
        <f t="array" ref="I21">TREND($H$2:$H$421, $A$2:$A$421, A21)</f>
        <v>1.0313303132292275</v>
      </c>
      <c r="J21">
        <f t="shared" si="2"/>
        <v>-1.0757149329425619E-3</v>
      </c>
      <c r="K21">
        <f t="shared" si="3"/>
        <v>-3.9336603843583347E-2</v>
      </c>
    </row>
    <row r="22" spans="1:11" x14ac:dyDescent="0.35">
      <c r="A22" s="1">
        <v>1982.6666666680001</v>
      </c>
      <c r="B22">
        <v>170.1</v>
      </c>
      <c r="C22" cm="1">
        <f t="array" ref="C22">TREND($B$2:$B$421, $A$2:$A$421, A22)</f>
        <v>291.98881479152806</v>
      </c>
      <c r="D22">
        <f t="shared" si="0"/>
        <v>-121.88881479152806</v>
      </c>
      <c r="E22">
        <f t="shared" si="1"/>
        <v>-0.86046469088969979</v>
      </c>
      <c r="G22" s="7">
        <v>1982.6666666666499</v>
      </c>
      <c r="H22">
        <v>1.033407916353992</v>
      </c>
      <c r="I22" cm="1">
        <f t="array" ref="I22">TREND($H$2:$H$421, $A$2:$A$421, A22)</f>
        <v>1.0312213385199414</v>
      </c>
      <c r="J22">
        <f t="shared" si="2"/>
        <v>2.1865778340506292E-3</v>
      </c>
      <c r="K22">
        <f t="shared" si="3"/>
        <v>7.9958494018379692E-2</v>
      </c>
    </row>
    <row r="23" spans="1:11" x14ac:dyDescent="0.35">
      <c r="A23" s="1">
        <v>1982.7500000013299</v>
      </c>
      <c r="B23">
        <v>221</v>
      </c>
      <c r="C23" cm="1">
        <f t="array" ref="C23">TREND($B$2:$B$421, $A$2:$A$421, A23)</f>
        <v>292.35864954196768</v>
      </c>
      <c r="D23">
        <f t="shared" si="0"/>
        <v>-71.358649541967679</v>
      </c>
      <c r="E23">
        <f t="shared" si="1"/>
        <v>-0.50375088498033271</v>
      </c>
      <c r="G23" s="7">
        <v>1982.74999999998</v>
      </c>
      <c r="H23">
        <v>1.0289477947952101</v>
      </c>
      <c r="I23" cm="1">
        <f t="array" ref="I23">TREND($H$2:$H$421, $A$2:$A$421, A23)</f>
        <v>1.0311123638106552</v>
      </c>
      <c r="J23">
        <f t="shared" si="2"/>
        <v>-2.1645690154450392E-3</v>
      </c>
      <c r="K23">
        <f t="shared" si="3"/>
        <v>-7.9153678400399816E-2</v>
      </c>
    </row>
    <row r="24" spans="1:11" x14ac:dyDescent="0.35">
      <c r="A24" s="1">
        <v>1982.83333333466</v>
      </c>
      <c r="B24">
        <v>299.5</v>
      </c>
      <c r="C24" cm="1">
        <f t="array" ref="C24">TREND($B$2:$B$421, $A$2:$A$421, A24)</f>
        <v>292.7284842924073</v>
      </c>
      <c r="D24">
        <f t="shared" si="0"/>
        <v>6.7715157075926982</v>
      </c>
      <c r="E24">
        <f t="shared" si="1"/>
        <v>4.7802993081463976E-2</v>
      </c>
      <c r="G24" s="7">
        <v>1982.8333333333201</v>
      </c>
      <c r="H24">
        <v>1.0302348627926785</v>
      </c>
      <c r="I24" cm="1">
        <f t="array" ref="I24">TREND($H$2:$H$421, $A$2:$A$421, A24)</f>
        <v>1.031003389101369</v>
      </c>
      <c r="J24">
        <f t="shared" si="2"/>
        <v>-7.685263086905092E-4</v>
      </c>
      <c r="K24">
        <f t="shared" si="3"/>
        <v>-2.8103370161124304E-2</v>
      </c>
    </row>
    <row r="25" spans="1:11" x14ac:dyDescent="0.35">
      <c r="A25" s="1">
        <v>1982.9166666679901</v>
      </c>
      <c r="B25">
        <v>264.39999999999998</v>
      </c>
      <c r="C25" cm="1">
        <f t="array" ref="C25">TREND($B$2:$B$421, $A$2:$A$421, A25)</f>
        <v>293.09831904284874</v>
      </c>
      <c r="D25">
        <f t="shared" si="0"/>
        <v>-28.698319042848766</v>
      </c>
      <c r="E25">
        <f t="shared" si="1"/>
        <v>-0.20259357075950588</v>
      </c>
      <c r="G25" s="7">
        <v>1982.9166666666499</v>
      </c>
      <c r="H25">
        <v>1.0365682776446001</v>
      </c>
      <c r="I25" cm="1">
        <f t="array" ref="I25">TREND($H$2:$H$421, $A$2:$A$421, A25)</f>
        <v>1.0308944143920828</v>
      </c>
      <c r="J25">
        <f t="shared" si="2"/>
        <v>5.6738632525172861E-3</v>
      </c>
      <c r="K25">
        <f t="shared" si="3"/>
        <v>0.20748109391428438</v>
      </c>
    </row>
    <row r="26" spans="1:11" x14ac:dyDescent="0.35">
      <c r="A26" s="1">
        <v>1983.0000000013199</v>
      </c>
      <c r="B26">
        <v>84.92</v>
      </c>
      <c r="C26" cm="1">
        <f t="array" ref="C26">TREND($B$2:$B$421, $A$2:$A$421, A26)</f>
        <v>293.46815379328837</v>
      </c>
      <c r="D26">
        <f t="shared" si="0"/>
        <v>-208.54815379328835</v>
      </c>
      <c r="E26">
        <f t="shared" si="1"/>
        <v>-1.4722296134905992</v>
      </c>
      <c r="G26" s="7">
        <v>1982.99999999999</v>
      </c>
      <c r="H26">
        <v>1.029064952139374</v>
      </c>
      <c r="I26" cm="1">
        <f t="array" ref="I26">TREND($H$2:$H$421, $A$2:$A$421, A26)</f>
        <v>1.0307854396827967</v>
      </c>
      <c r="J26">
        <f t="shared" si="2"/>
        <v>-1.7204875434226885E-3</v>
      </c>
      <c r="K26">
        <f t="shared" si="3"/>
        <v>-6.2914564854371011E-2</v>
      </c>
    </row>
    <row r="27" spans="1:11" x14ac:dyDescent="0.35">
      <c r="A27" s="1">
        <v>1983.08333333465</v>
      </c>
      <c r="B27">
        <v>40.630000000000003</v>
      </c>
      <c r="C27" cm="1">
        <f t="array" ref="C27">TREND($B$2:$B$421, $A$2:$A$421, A27)</f>
        <v>293.83798854372981</v>
      </c>
      <c r="D27">
        <f t="shared" si="0"/>
        <v>-253.20798854372981</v>
      </c>
      <c r="E27">
        <f t="shared" si="1"/>
        <v>-1.7875022738200048</v>
      </c>
      <c r="G27" s="7">
        <v>1983.0833333333201</v>
      </c>
      <c r="H27">
        <v>1.0084504456901542</v>
      </c>
      <c r="I27" cm="1">
        <f t="array" ref="I27">TREND($H$2:$H$421, $A$2:$A$421, A27)</f>
        <v>1.0306764649735105</v>
      </c>
      <c r="J27">
        <f t="shared" si="2"/>
        <v>-2.2226019283356324E-2</v>
      </c>
      <c r="K27">
        <f t="shared" si="3"/>
        <v>-0.81275818415700296</v>
      </c>
    </row>
    <row r="28" spans="1:11" x14ac:dyDescent="0.35">
      <c r="A28" s="1">
        <v>1983.1666666679801</v>
      </c>
      <c r="B28">
        <v>39.31</v>
      </c>
      <c r="C28" cm="1">
        <f t="array" ref="C28">TREND($B$2:$B$421, $A$2:$A$421, A28)</f>
        <v>294.20782329416943</v>
      </c>
      <c r="D28">
        <f t="shared" si="0"/>
        <v>-254.89782329416943</v>
      </c>
      <c r="E28">
        <f t="shared" si="1"/>
        <v>-1.7994315319613576</v>
      </c>
      <c r="G28" s="7">
        <v>1983.1666666666499</v>
      </c>
      <c r="H28">
        <v>0.99066276646601326</v>
      </c>
      <c r="I28" cm="1">
        <f t="array" ref="I28">TREND($H$2:$H$421, $A$2:$A$421, A28)</f>
        <v>1.0305674902642239</v>
      </c>
      <c r="J28">
        <f t="shared" si="2"/>
        <v>-3.990472379821064E-2</v>
      </c>
      <c r="K28">
        <f t="shared" si="3"/>
        <v>-1.4592307529314152</v>
      </c>
    </row>
    <row r="29" spans="1:11" x14ac:dyDescent="0.35">
      <c r="A29" s="1">
        <v>1983.2500000013099</v>
      </c>
      <c r="B29">
        <v>62.67</v>
      </c>
      <c r="C29" cm="1">
        <f t="array" ref="C29">TREND($B$2:$B$421, $A$2:$A$421, A29)</f>
        <v>294.57765804460905</v>
      </c>
      <c r="D29">
        <f t="shared" si="0"/>
        <v>-231.90765804460904</v>
      </c>
      <c r="E29">
        <f t="shared" si="1"/>
        <v>-1.6371342328301757</v>
      </c>
      <c r="G29" s="7">
        <v>1983.24999999999</v>
      </c>
      <c r="H29">
        <v>0.98301818210129077</v>
      </c>
      <c r="I29" cm="1">
        <f t="array" ref="I29">TREND($H$2:$H$421, $A$2:$A$421, A29)</f>
        <v>1.0304585155549382</v>
      </c>
      <c r="J29">
        <f t="shared" si="2"/>
        <v>-4.7440333453647399E-2</v>
      </c>
      <c r="K29">
        <f t="shared" si="3"/>
        <v>-1.7347919473129487</v>
      </c>
    </row>
    <row r="30" spans="1:11" x14ac:dyDescent="0.35">
      <c r="A30" s="1">
        <v>1983.33333333464</v>
      </c>
      <c r="B30">
        <v>81.27</v>
      </c>
      <c r="C30" cm="1">
        <f t="array" ref="C30">TREND($B$2:$B$421, $A$2:$A$421, A30)</f>
        <v>294.94749279505049</v>
      </c>
      <c r="D30">
        <f t="shared" si="0"/>
        <v>-213.67749279505051</v>
      </c>
      <c r="E30">
        <f t="shared" si="1"/>
        <v>-1.5084397867223969</v>
      </c>
      <c r="G30" s="7">
        <v>1983.3333333333201</v>
      </c>
      <c r="H30">
        <v>0.99026165119046727</v>
      </c>
      <c r="I30" cm="1">
        <f t="array" ref="I30">TREND($H$2:$H$421, $A$2:$A$421, A30)</f>
        <v>1.030349540845652</v>
      </c>
      <c r="J30">
        <f t="shared" si="2"/>
        <v>-4.0087889655184727E-2</v>
      </c>
      <c r="K30">
        <f t="shared" si="3"/>
        <v>-1.465928738180861</v>
      </c>
    </row>
    <row r="31" spans="1:11" x14ac:dyDescent="0.35">
      <c r="A31" s="1">
        <v>1983.41666666797</v>
      </c>
      <c r="B31">
        <v>104.4</v>
      </c>
      <c r="C31" cm="1">
        <f t="array" ref="C31">TREND($B$2:$B$421, $A$2:$A$421, A31)</f>
        <v>295.31732754549012</v>
      </c>
      <c r="D31">
        <f t="shared" si="0"/>
        <v>-190.91732754549011</v>
      </c>
      <c r="E31">
        <f t="shared" si="1"/>
        <v>-1.3477661548591515</v>
      </c>
      <c r="G31" s="7">
        <v>1983.4166666666499</v>
      </c>
      <c r="H31">
        <v>0.99512808476496106</v>
      </c>
      <c r="I31" cm="1">
        <f t="array" ref="I31">TREND($H$2:$H$421, $A$2:$A$421, A31)</f>
        <v>1.0302405661363654</v>
      </c>
      <c r="J31">
        <f t="shared" si="2"/>
        <v>-3.5112481371404325E-2</v>
      </c>
      <c r="K31">
        <f t="shared" si="3"/>
        <v>-1.28398865477631</v>
      </c>
    </row>
    <row r="32" spans="1:11" x14ac:dyDescent="0.35">
      <c r="A32" s="1">
        <v>1983.5000000012999</v>
      </c>
      <c r="B32">
        <v>141.80000000000001</v>
      </c>
      <c r="C32" cm="1">
        <f t="array" ref="C32">TREND($B$2:$B$421, $A$2:$A$421, A32)</f>
        <v>295.68716229592974</v>
      </c>
      <c r="D32">
        <f t="shared" si="0"/>
        <v>-153.88716229592973</v>
      </c>
      <c r="E32">
        <f t="shared" si="1"/>
        <v>-1.0863545581547771</v>
      </c>
      <c r="G32" s="7">
        <v>1983.49999999999</v>
      </c>
      <c r="H32">
        <v>1.0017430496375193</v>
      </c>
      <c r="I32" cm="1">
        <f t="array" ref="I32">TREND($H$2:$H$421, $A$2:$A$421, A32)</f>
        <v>1.0301315914270797</v>
      </c>
      <c r="J32">
        <f t="shared" si="2"/>
        <v>-2.8388541789560406E-2</v>
      </c>
      <c r="K32">
        <f t="shared" si="3"/>
        <v>-1.0381085061428961</v>
      </c>
    </row>
    <row r="33" spans="1:11" x14ac:dyDescent="0.35">
      <c r="A33" s="1">
        <v>1983.58333333463</v>
      </c>
      <c r="B33">
        <v>209.2</v>
      </c>
      <c r="C33" cm="1">
        <f t="array" ref="C33">TREND($B$2:$B$421, $A$2:$A$421, A33)</f>
        <v>296.05699704637118</v>
      </c>
      <c r="D33">
        <f t="shared" si="0"/>
        <v>-86.856997046371191</v>
      </c>
      <c r="E33">
        <f t="shared" si="1"/>
        <v>-0.61316027432820974</v>
      </c>
      <c r="G33" s="7">
        <v>1983.5833333333201</v>
      </c>
      <c r="H33">
        <v>1.0109189666031719</v>
      </c>
      <c r="I33" cm="1">
        <f t="array" ref="I33">TREND($H$2:$H$421, $A$2:$A$421, A33)</f>
        <v>1.030022616717793</v>
      </c>
      <c r="J33">
        <f t="shared" si="2"/>
        <v>-1.9103650114621118E-2</v>
      </c>
      <c r="K33">
        <f t="shared" si="3"/>
        <v>-0.69857979424849848</v>
      </c>
    </row>
    <row r="34" spans="1:11" x14ac:dyDescent="0.35">
      <c r="A34" s="1">
        <v>1983.66666666796</v>
      </c>
      <c r="B34">
        <v>224.2</v>
      </c>
      <c r="C34" cm="1">
        <f t="array" ref="C34">TREND($B$2:$B$421, $A$2:$A$421, A34)</f>
        <v>296.4268317968108</v>
      </c>
      <c r="D34">
        <f t="shared" si="0"/>
        <v>-72.226831796810814</v>
      </c>
      <c r="E34">
        <f t="shared" si="1"/>
        <v>-0.50987975067508251</v>
      </c>
      <c r="G34" s="7">
        <v>1983.6666666666499</v>
      </c>
      <c r="H34">
        <v>1.0190711146606664</v>
      </c>
      <c r="I34" cm="1">
        <f t="array" ref="I34">TREND($H$2:$H$421, $A$2:$A$421, A34)</f>
        <v>1.0299136420085069</v>
      </c>
      <c r="J34">
        <f t="shared" si="2"/>
        <v>-1.0842527347840525E-2</v>
      </c>
      <c r="K34">
        <f t="shared" si="3"/>
        <v>-0.39648813071545708</v>
      </c>
    </row>
    <row r="35" spans="1:11" x14ac:dyDescent="0.35">
      <c r="A35" s="1">
        <v>1983.7500000012899</v>
      </c>
      <c r="B35">
        <v>272.2</v>
      </c>
      <c r="C35" cm="1">
        <f t="array" ref="C35">TREND($B$2:$B$421, $A$2:$A$421, A35)</f>
        <v>296.79666654725042</v>
      </c>
      <c r="D35">
        <f t="shared" si="0"/>
        <v>-24.596666547250436</v>
      </c>
      <c r="E35">
        <f t="shared" si="1"/>
        <v>-0.17363827118752864</v>
      </c>
      <c r="G35" s="7">
        <v>1983.74999999999</v>
      </c>
      <c r="H35">
        <v>1.0290375343922267</v>
      </c>
      <c r="I35" cm="1">
        <f t="array" ref="I35">TREND($H$2:$H$421, $A$2:$A$421, A35)</f>
        <v>1.0298046672992207</v>
      </c>
      <c r="J35">
        <f t="shared" si="2"/>
        <v>-7.6713290699403913E-4</v>
      </c>
      <c r="K35">
        <f t="shared" si="3"/>
        <v>-2.8052416429005828E-2</v>
      </c>
    </row>
    <row r="36" spans="1:11" x14ac:dyDescent="0.35">
      <c r="A36" s="1">
        <v>1983.83333333462</v>
      </c>
      <c r="B36">
        <v>313.10000000000002</v>
      </c>
      <c r="C36" cm="1">
        <f t="array" ref="C36">TREND($B$2:$B$421, $A$2:$A$421, A36)</f>
        <v>297.16650129769187</v>
      </c>
      <c r="D36">
        <f t="shared" si="0"/>
        <v>15.933498702308157</v>
      </c>
      <c r="E36">
        <f t="shared" si="1"/>
        <v>0.11248130568109052</v>
      </c>
      <c r="G36" s="7">
        <v>1983.8333333333201</v>
      </c>
      <c r="H36">
        <v>1.0382674481946226</v>
      </c>
      <c r="I36" cm="1">
        <f t="array" ref="I36">TREND($H$2:$H$421, $A$2:$A$421, A36)</f>
        <v>1.0296956925899345</v>
      </c>
      <c r="J36">
        <f t="shared" si="2"/>
        <v>8.5717556046880361E-3</v>
      </c>
      <c r="K36">
        <f t="shared" si="3"/>
        <v>0.31345084477275031</v>
      </c>
    </row>
    <row r="37" spans="1:11" x14ac:dyDescent="0.35">
      <c r="A37" s="1">
        <v>1983.91666666795</v>
      </c>
      <c r="B37">
        <v>310.5</v>
      </c>
      <c r="C37" cm="1">
        <f t="array" ref="C37">TREND($B$2:$B$421, $A$2:$A$421, A37)</f>
        <v>297.53633604813149</v>
      </c>
      <c r="D37">
        <f t="shared" si="0"/>
        <v>12.963663951868512</v>
      </c>
      <c r="E37">
        <f t="shared" si="1"/>
        <v>9.1515986222523382E-2</v>
      </c>
      <c r="G37" s="7">
        <v>1983.9166666666499</v>
      </c>
      <c r="H37">
        <v>1.0565434459117149</v>
      </c>
      <c r="I37" cm="1">
        <f t="array" ref="I37">TREND($H$2:$H$421, $A$2:$A$421, A37)</f>
        <v>1.0295867178806484</v>
      </c>
      <c r="J37">
        <f t="shared" si="2"/>
        <v>2.6956728031066524E-2</v>
      </c>
      <c r="K37">
        <f t="shared" si="3"/>
        <v>0.98575012673320694</v>
      </c>
    </row>
    <row r="38" spans="1:11" x14ac:dyDescent="0.35">
      <c r="A38" s="1">
        <v>1984.0000000012799</v>
      </c>
      <c r="B38">
        <v>347.1</v>
      </c>
      <c r="C38" cm="1">
        <f t="array" ref="C38">TREND($B$2:$B$421, $A$2:$A$421, A38)</f>
        <v>297.90617079857111</v>
      </c>
      <c r="D38">
        <f t="shared" si="0"/>
        <v>49.193829201428912</v>
      </c>
      <c r="E38">
        <f t="shared" si="1"/>
        <v>0.34728004460363909</v>
      </c>
      <c r="G38" s="7">
        <v>1983.99999999999</v>
      </c>
      <c r="H38">
        <v>1.0465580057567658</v>
      </c>
      <c r="I38" cm="1">
        <f t="array" ref="I38">TREND($H$2:$H$421, $A$2:$A$421, A38)</f>
        <v>1.0294777431713622</v>
      </c>
      <c r="J38">
        <f t="shared" si="2"/>
        <v>1.7080262585403627E-2</v>
      </c>
      <c r="K38">
        <f t="shared" si="3"/>
        <v>0.62458882208531219</v>
      </c>
    </row>
    <row r="39" spans="1:11" x14ac:dyDescent="0.35">
      <c r="A39" s="1">
        <v>1984.08333333461</v>
      </c>
      <c r="B39">
        <v>223.7</v>
      </c>
      <c r="C39" cm="1">
        <f t="array" ref="C39">TREND($B$2:$B$421, $A$2:$A$421, A39)</f>
        <v>298.27600554901255</v>
      </c>
      <c r="D39">
        <f t="shared" si="0"/>
        <v>-74.576005549012564</v>
      </c>
      <c r="E39">
        <f t="shared" si="1"/>
        <v>-0.5264635616670239</v>
      </c>
      <c r="G39" s="7">
        <v>1984.0833333333201</v>
      </c>
      <c r="H39">
        <v>1.0115064860115996</v>
      </c>
      <c r="I39" cm="1">
        <f t="array" ref="I39">TREND($H$2:$H$421, $A$2:$A$421, A39)</f>
        <v>1.029368768462076</v>
      </c>
      <c r="J39">
        <f t="shared" si="2"/>
        <v>-1.7862282450476386E-2</v>
      </c>
      <c r="K39">
        <f t="shared" si="3"/>
        <v>-0.65318562286230675</v>
      </c>
    </row>
    <row r="40" spans="1:11" x14ac:dyDescent="0.35">
      <c r="A40" s="1">
        <v>1984.16666666794</v>
      </c>
      <c r="B40">
        <v>173.2</v>
      </c>
      <c r="C40" cm="1">
        <f t="array" ref="C40">TREND($B$2:$B$421, $A$2:$A$421, A40)</f>
        <v>298.64584029945217</v>
      </c>
      <c r="D40">
        <f t="shared" si="0"/>
        <v>-125.44584029945219</v>
      </c>
      <c r="E40">
        <f t="shared" si="1"/>
        <v>-0.88557523823071316</v>
      </c>
      <c r="G40" s="7">
        <v>1984.1666666666499</v>
      </c>
      <c r="H40">
        <v>0.99398514541453431</v>
      </c>
      <c r="I40" cm="1">
        <f t="array" ref="I40">TREND($H$2:$H$421, $A$2:$A$421, A40)</f>
        <v>1.0292597937527899</v>
      </c>
      <c r="J40">
        <f t="shared" si="2"/>
        <v>-3.5274648338255554E-2</v>
      </c>
      <c r="K40">
        <f t="shared" si="3"/>
        <v>-1.2899187553412343</v>
      </c>
    </row>
    <row r="41" spans="1:11" x14ac:dyDescent="0.35">
      <c r="A41" s="1">
        <v>1984.2500000012701</v>
      </c>
      <c r="B41">
        <v>131.1</v>
      </c>
      <c r="C41" cm="1">
        <f t="array" ref="C41">TREND($B$2:$B$421, $A$2:$A$421, A41)</f>
        <v>299.01567504989362</v>
      </c>
      <c r="D41">
        <f t="shared" si="0"/>
        <v>-167.91567504989362</v>
      </c>
      <c r="E41">
        <f t="shared" si="1"/>
        <v>-1.1853877624001976</v>
      </c>
      <c r="G41" s="7">
        <v>1984.24999999999</v>
      </c>
      <c r="H41">
        <v>0.99157937057160739</v>
      </c>
      <c r="I41" cm="1">
        <f t="array" ref="I41">TREND($H$2:$H$421, $A$2:$A$421, A41)</f>
        <v>1.0291508190435037</v>
      </c>
      <c r="J41">
        <f t="shared" si="2"/>
        <v>-3.7571448471896307E-2</v>
      </c>
      <c r="K41">
        <f t="shared" si="3"/>
        <v>-1.373907844084052</v>
      </c>
    </row>
    <row r="42" spans="1:11" x14ac:dyDescent="0.35">
      <c r="A42" s="1">
        <v>1984.3333333346</v>
      </c>
      <c r="B42">
        <v>219.3</v>
      </c>
      <c r="C42" cm="1">
        <f t="array" ref="C42">TREND($B$2:$B$421, $A$2:$A$421, A42)</f>
        <v>299.38550980033324</v>
      </c>
      <c r="D42">
        <f t="shared" si="0"/>
        <v>-80.085509800333227</v>
      </c>
      <c r="E42">
        <f t="shared" si="1"/>
        <v>-0.56535748216888748</v>
      </c>
      <c r="G42" s="7">
        <v>1984.3333333333201</v>
      </c>
      <c r="H42">
        <v>1.0035419787067819</v>
      </c>
      <c r="I42" cm="1">
        <f t="array" ref="I42">TREND($H$2:$H$421, $A$2:$A$421, A42)</f>
        <v>1.0290418443342175</v>
      </c>
      <c r="J42">
        <f t="shared" si="2"/>
        <v>-2.5499865627435669E-2</v>
      </c>
      <c r="K42">
        <f t="shared" si="3"/>
        <v>-0.93247577172408791</v>
      </c>
    </row>
    <row r="43" spans="1:11" x14ac:dyDescent="0.35">
      <c r="A43" s="1">
        <v>1984.41666666793</v>
      </c>
      <c r="B43">
        <v>321.7</v>
      </c>
      <c r="C43" cm="1">
        <f t="array" ref="C43">TREND($B$2:$B$421, $A$2:$A$421, A43)</f>
        <v>299.75534455077286</v>
      </c>
      <c r="D43">
        <f t="shared" si="0"/>
        <v>21.944655449227128</v>
      </c>
      <c r="E43">
        <f t="shared" si="1"/>
        <v>0.15491660330026644</v>
      </c>
      <c r="G43" s="7">
        <v>1984.4166666666499</v>
      </c>
      <c r="H43">
        <v>1.0152259063357234</v>
      </c>
      <c r="I43" cm="1">
        <f t="array" ref="I43">TREND($H$2:$H$421, $A$2:$A$421, A43)</f>
        <v>1.0289328696249314</v>
      </c>
      <c r="J43">
        <f t="shared" si="2"/>
        <v>-1.3706963289207952E-2</v>
      </c>
      <c r="K43">
        <f t="shared" si="3"/>
        <v>-0.50123445189241989</v>
      </c>
    </row>
    <row r="44" spans="1:11" x14ac:dyDescent="0.35">
      <c r="A44" s="1">
        <v>1984.5000000012601</v>
      </c>
      <c r="B44">
        <v>390.4</v>
      </c>
      <c r="C44" cm="1">
        <f t="array" ref="C44">TREND($B$2:$B$421, $A$2:$A$421, A44)</f>
        <v>300.1251793012143</v>
      </c>
      <c r="D44">
        <f t="shared" si="0"/>
        <v>90.274820698785675</v>
      </c>
      <c r="E44">
        <f t="shared" si="1"/>
        <v>0.63728813690212949</v>
      </c>
      <c r="G44" s="7">
        <v>1984.49999999999</v>
      </c>
      <c r="H44">
        <v>1.0207281353904327</v>
      </c>
      <c r="I44" cm="1">
        <f t="array" ref="I44">TREND($H$2:$H$421, $A$2:$A$421, A44)</f>
        <v>1.0288238949156447</v>
      </c>
      <c r="J44">
        <f t="shared" si="2"/>
        <v>-8.0957595252120207E-3</v>
      </c>
      <c r="K44">
        <f t="shared" si="3"/>
        <v>-0.29604468200972583</v>
      </c>
    </row>
    <row r="45" spans="1:11" x14ac:dyDescent="0.35">
      <c r="A45" s="1">
        <v>1984.58333333459</v>
      </c>
      <c r="B45">
        <v>438.9</v>
      </c>
      <c r="C45" cm="1">
        <f t="array" ref="C45">TREND($B$2:$B$421, $A$2:$A$421, A45)</f>
        <v>300.49501405165392</v>
      </c>
      <c r="D45">
        <f t="shared" si="0"/>
        <v>138.40498594834605</v>
      </c>
      <c r="E45">
        <f t="shared" si="1"/>
        <v>0.97705932784172012</v>
      </c>
      <c r="G45" s="7">
        <v>1984.5833333333201</v>
      </c>
      <c r="H45">
        <v>1.0234822387369134</v>
      </c>
      <c r="I45" cm="1">
        <f t="array" ref="I45">TREND($H$2:$H$421, $A$2:$A$421, A45)</f>
        <v>1.028714920206359</v>
      </c>
      <c r="J45">
        <f t="shared" si="2"/>
        <v>-5.2326814694456658E-3</v>
      </c>
      <c r="K45">
        <f t="shared" si="3"/>
        <v>-0.19134801581692151</v>
      </c>
    </row>
    <row r="46" spans="1:11" x14ac:dyDescent="0.35">
      <c r="A46" s="1">
        <v>1984.66666666792</v>
      </c>
      <c r="B46">
        <v>426.4</v>
      </c>
      <c r="C46" cm="1">
        <f t="array" ref="C46">TREND($B$2:$B$421, $A$2:$A$421, A46)</f>
        <v>300.86484880209355</v>
      </c>
      <c r="D46">
        <f t="shared" si="0"/>
        <v>125.53515119790643</v>
      </c>
      <c r="E46">
        <f t="shared" si="1"/>
        <v>0.88620572163282518</v>
      </c>
      <c r="G46" s="7">
        <v>1984.6666666666599</v>
      </c>
      <c r="H46">
        <v>1.0320212148036396</v>
      </c>
      <c r="I46" cm="1">
        <f t="array" ref="I46">TREND($H$2:$H$421, $A$2:$A$421, A46)</f>
        <v>1.0286059454970728</v>
      </c>
      <c r="J46">
        <f t="shared" si="2"/>
        <v>3.4152693065667705E-3</v>
      </c>
      <c r="K46">
        <f t="shared" si="3"/>
        <v>0.12488912407678195</v>
      </c>
    </row>
    <row r="47" spans="1:11" x14ac:dyDescent="0.35">
      <c r="A47" s="1">
        <v>1984.7500000012501</v>
      </c>
      <c r="B47">
        <v>474.2</v>
      </c>
      <c r="C47" cm="1">
        <f t="array" ref="C47">TREND($B$2:$B$421, $A$2:$A$421, A47)</f>
        <v>301.23468355253499</v>
      </c>
      <c r="D47">
        <f t="shared" si="0"/>
        <v>172.965316447465</v>
      </c>
      <c r="E47">
        <f t="shared" si="1"/>
        <v>1.2210353165395516</v>
      </c>
      <c r="G47" s="7">
        <v>1984.74999999999</v>
      </c>
      <c r="H47">
        <v>1.0389375468937179</v>
      </c>
      <c r="I47" cm="1">
        <f t="array" ref="I47">TREND($H$2:$H$421, $A$2:$A$421, A47)</f>
        <v>1.0284969707877862</v>
      </c>
      <c r="J47">
        <f t="shared" si="2"/>
        <v>1.0440576105931632E-2</v>
      </c>
      <c r="K47">
        <f t="shared" si="3"/>
        <v>0.38178962994799354</v>
      </c>
    </row>
    <row r="48" spans="1:11" x14ac:dyDescent="0.35">
      <c r="A48" s="1">
        <v>1984.8333333345799</v>
      </c>
      <c r="B48">
        <v>576</v>
      </c>
      <c r="C48" cm="1">
        <f t="array" ref="C48">TREND($B$2:$B$421, $A$2:$A$421, A48)</f>
        <v>301.60451830297461</v>
      </c>
      <c r="D48">
        <f t="shared" si="0"/>
        <v>274.39548169702539</v>
      </c>
      <c r="E48">
        <f t="shared" si="1"/>
        <v>1.9370737482662617</v>
      </c>
      <c r="G48" s="7">
        <v>1984.8333333333201</v>
      </c>
      <c r="H48">
        <v>1.0476143025626603</v>
      </c>
      <c r="I48" cm="1">
        <f t="array" ref="I48">TREND($H$2:$H$421, $A$2:$A$421, A48)</f>
        <v>1.0283879960785005</v>
      </c>
      <c r="J48">
        <f t="shared" si="2"/>
        <v>1.9226306484159794E-2</v>
      </c>
      <c r="K48">
        <f t="shared" si="3"/>
        <v>0.70306507642656446</v>
      </c>
    </row>
    <row r="49" spans="1:11" x14ac:dyDescent="0.35">
      <c r="A49" s="1">
        <v>1984.91666666791</v>
      </c>
      <c r="B49">
        <v>629</v>
      </c>
      <c r="C49" cm="1">
        <f t="array" ref="C49">TREND($B$2:$B$421, $A$2:$A$421, A49)</f>
        <v>301.97435305341423</v>
      </c>
      <c r="D49">
        <f t="shared" si="0"/>
        <v>327.02564694658577</v>
      </c>
      <c r="E49">
        <f t="shared" si="1"/>
        <v>2.3086123422741833</v>
      </c>
      <c r="G49" s="7">
        <v>1984.9166666666599</v>
      </c>
      <c r="H49">
        <v>1.0562932305523753</v>
      </c>
      <c r="I49" cm="1">
        <f t="array" ref="I49">TREND($H$2:$H$421, $A$2:$A$421, A49)</f>
        <v>1.0282790213692139</v>
      </c>
      <c r="J49">
        <f t="shared" si="2"/>
        <v>2.8014209183161443E-2</v>
      </c>
      <c r="K49">
        <f t="shared" si="3"/>
        <v>1.0244199600488164</v>
      </c>
    </row>
    <row r="50" spans="1:11" x14ac:dyDescent="0.35">
      <c r="A50" s="1">
        <v>1985.0000000012401</v>
      </c>
      <c r="B50">
        <v>435.8</v>
      </c>
      <c r="C50" cm="1">
        <f t="array" ref="C50">TREND($B$2:$B$421, $A$2:$A$421, A50)</f>
        <v>302.34418780385568</v>
      </c>
      <c r="D50">
        <f t="shared" si="0"/>
        <v>133.45581219614434</v>
      </c>
      <c r="E50">
        <f t="shared" si="1"/>
        <v>0.94212101729918774</v>
      </c>
      <c r="G50" s="7">
        <v>1984.99999999999</v>
      </c>
      <c r="H50">
        <v>1.048966069856794</v>
      </c>
      <c r="I50" cm="1">
        <f t="array" ref="I50">TREND($H$2:$H$421, $A$2:$A$421, A50)</f>
        <v>1.0281700466599277</v>
      </c>
      <c r="J50">
        <f t="shared" si="2"/>
        <v>2.0796023196866242E-2</v>
      </c>
      <c r="K50">
        <f t="shared" si="3"/>
        <v>0.760466273140883</v>
      </c>
    </row>
    <row r="51" spans="1:11" x14ac:dyDescent="0.35">
      <c r="A51" s="1">
        <v>1985.0833333345699</v>
      </c>
      <c r="B51">
        <v>227.1</v>
      </c>
      <c r="C51" cm="1">
        <f t="array" ref="C51">TREND($B$2:$B$421, $A$2:$A$421, A51)</f>
        <v>302.7140225542953</v>
      </c>
      <c r="D51">
        <f t="shared" si="0"/>
        <v>-75.614022554295303</v>
      </c>
      <c r="E51">
        <f t="shared" si="1"/>
        <v>-0.53379136268893468</v>
      </c>
      <c r="G51" s="7">
        <v>1985.0833333333201</v>
      </c>
      <c r="H51">
        <v>1.0205702255072031</v>
      </c>
      <c r="I51" cm="1">
        <f t="array" ref="I51">TREND($H$2:$H$421, $A$2:$A$421, A51)</f>
        <v>1.0280610719506416</v>
      </c>
      <c r="J51">
        <f t="shared" si="2"/>
        <v>-7.4908464434384481E-3</v>
      </c>
      <c r="K51">
        <f t="shared" si="3"/>
        <v>-0.27392429906363247</v>
      </c>
    </row>
    <row r="52" spans="1:11" x14ac:dyDescent="0.35">
      <c r="A52" s="1">
        <v>1985.1666666679</v>
      </c>
      <c r="B52">
        <v>142.1</v>
      </c>
      <c r="C52" cm="1">
        <f t="array" ref="C52">TREND($B$2:$B$421, $A$2:$A$421, A52)</f>
        <v>303.08385730473492</v>
      </c>
      <c r="D52">
        <f t="shared" si="0"/>
        <v>-160.98385730473493</v>
      </c>
      <c r="E52">
        <f t="shared" si="1"/>
        <v>-1.1364531294431608</v>
      </c>
      <c r="G52" s="7">
        <v>1985.1666666666599</v>
      </c>
      <c r="H52">
        <v>0.99321870123268829</v>
      </c>
      <c r="I52" cm="1">
        <f t="array" ref="I52">TREND($H$2:$H$421, $A$2:$A$421, A52)</f>
        <v>1.0279520972413554</v>
      </c>
      <c r="J52">
        <f t="shared" si="2"/>
        <v>-3.4733396008667095E-2</v>
      </c>
      <c r="K52">
        <f t="shared" si="3"/>
        <v>-1.2701263105062532</v>
      </c>
    </row>
    <row r="53" spans="1:11" x14ac:dyDescent="0.35">
      <c r="A53" s="1">
        <v>1985.2500000012301</v>
      </c>
      <c r="B53">
        <v>165.8</v>
      </c>
      <c r="C53" cm="1">
        <f t="array" ref="C53">TREND($B$2:$B$421, $A$2:$A$421, A53)</f>
        <v>303.45369205517636</v>
      </c>
      <c r="D53">
        <f t="shared" si="0"/>
        <v>-137.65369205517635</v>
      </c>
      <c r="E53">
        <f t="shared" si="1"/>
        <v>-0.97175562652460667</v>
      </c>
      <c r="G53" s="7">
        <v>1985.24999999999</v>
      </c>
      <c r="H53">
        <v>0.98855473245534653</v>
      </c>
      <c r="I53" cm="1">
        <f t="array" ref="I53">TREND($H$2:$H$421, $A$2:$A$421, A53)</f>
        <v>1.0278431225320692</v>
      </c>
      <c r="J53">
        <f t="shared" si="2"/>
        <v>-3.928839007672269E-2</v>
      </c>
      <c r="K53">
        <f t="shared" si="3"/>
        <v>-1.4366927415167314</v>
      </c>
    </row>
    <row r="54" spans="1:11" x14ac:dyDescent="0.35">
      <c r="A54" s="1">
        <v>1985.3333333345599</v>
      </c>
      <c r="B54">
        <v>227.4</v>
      </c>
      <c r="C54" cm="1">
        <f t="array" ref="C54">TREND($B$2:$B$421, $A$2:$A$421, A54)</f>
        <v>303.82352680561598</v>
      </c>
      <c r="D54">
        <f t="shared" si="0"/>
        <v>-76.423526805615978</v>
      </c>
      <c r="E54">
        <f t="shared" si="1"/>
        <v>-0.53950599554165279</v>
      </c>
      <c r="G54" s="7">
        <v>1985.3333333333201</v>
      </c>
      <c r="H54">
        <v>0.99219956244151952</v>
      </c>
      <c r="I54" cm="1">
        <f t="array" ref="I54">TREND($H$2:$H$421, $A$2:$A$421, A54)</f>
        <v>1.0277341478227831</v>
      </c>
      <c r="J54">
        <f t="shared" si="2"/>
        <v>-3.5534585381263528E-2</v>
      </c>
      <c r="K54">
        <f t="shared" si="3"/>
        <v>-1.2994240993426456</v>
      </c>
    </row>
    <row r="55" spans="1:11" x14ac:dyDescent="0.35">
      <c r="A55" s="1">
        <v>1985.41666666789</v>
      </c>
      <c r="B55">
        <v>280.2</v>
      </c>
      <c r="C55" cm="1">
        <f t="array" ref="C55">TREND($B$2:$B$421, $A$2:$A$421, A55)</f>
        <v>304.19336155605561</v>
      </c>
      <c r="D55">
        <f t="shared" si="0"/>
        <v>-23.993361556055618</v>
      </c>
      <c r="E55">
        <f t="shared" si="1"/>
        <v>-0.16937928611454606</v>
      </c>
      <c r="G55" s="7">
        <v>1985.4166666666599</v>
      </c>
      <c r="H55">
        <v>0.99361370473489663</v>
      </c>
      <c r="I55" cm="1">
        <f t="array" ref="I55">TREND($H$2:$H$421, $A$2:$A$421, A55)</f>
        <v>1.0276251731134969</v>
      </c>
      <c r="J55">
        <f t="shared" si="2"/>
        <v>-3.4011468378600251E-2</v>
      </c>
      <c r="K55">
        <f t="shared" si="3"/>
        <v>-1.2437269547680321</v>
      </c>
    </row>
    <row r="56" spans="1:11" x14ac:dyDescent="0.35">
      <c r="A56" s="1">
        <v>1985.5000000012201</v>
      </c>
      <c r="B56">
        <v>214.8</v>
      </c>
      <c r="C56" cm="1">
        <f t="array" ref="C56">TREND($B$2:$B$421, $A$2:$A$421, A56)</f>
        <v>304.56319630649705</v>
      </c>
      <c r="D56">
        <f t="shared" si="0"/>
        <v>-89.763196306497036</v>
      </c>
      <c r="E56">
        <f t="shared" si="1"/>
        <v>-0.63367636394894367</v>
      </c>
      <c r="G56" s="7">
        <v>1985.49999999999</v>
      </c>
      <c r="H56">
        <v>1.0003437078572444</v>
      </c>
      <c r="I56" cm="1">
        <f t="array" ref="I56">TREND($H$2:$H$421, $A$2:$A$421, A56)</f>
        <v>1.0275161984042107</v>
      </c>
      <c r="J56">
        <f t="shared" si="2"/>
        <v>-2.7172490546966355E-2</v>
      </c>
      <c r="K56">
        <f t="shared" si="3"/>
        <v>-0.99364010236927425</v>
      </c>
    </row>
    <row r="57" spans="1:11" x14ac:dyDescent="0.35">
      <c r="A57" s="1">
        <v>1985.5833333345499</v>
      </c>
      <c r="B57">
        <v>265.8</v>
      </c>
      <c r="C57" cm="1">
        <f t="array" ref="C57">TREND($B$2:$B$421, $A$2:$A$421, A57)</f>
        <v>304.93303105693667</v>
      </c>
      <c r="D57">
        <f t="shared" si="0"/>
        <v>-39.133031056936659</v>
      </c>
      <c r="E57">
        <f t="shared" si="1"/>
        <v>-0.27625661574916921</v>
      </c>
      <c r="G57" s="7">
        <v>1985.5833333333201</v>
      </c>
      <c r="H57">
        <v>1.0104591989005809</v>
      </c>
      <c r="I57" cm="1">
        <f t="array" ref="I57">TREND($H$2:$H$421, $A$2:$A$421, A57)</f>
        <v>1.0274072236949245</v>
      </c>
      <c r="J57">
        <f t="shared" si="2"/>
        <v>-1.6948024794343652E-2</v>
      </c>
      <c r="K57">
        <f t="shared" si="3"/>
        <v>-0.61975316773047373</v>
      </c>
    </row>
    <row r="58" spans="1:11" x14ac:dyDescent="0.35">
      <c r="A58" s="1">
        <v>1985.66666666788</v>
      </c>
      <c r="B58">
        <v>345.3</v>
      </c>
      <c r="C58" cm="1">
        <f t="array" ref="C58">TREND($B$2:$B$421, $A$2:$A$421, A58)</f>
        <v>305.30286580737629</v>
      </c>
      <c r="D58">
        <f t="shared" si="0"/>
        <v>39.997134192623719</v>
      </c>
      <c r="E58">
        <f t="shared" si="1"/>
        <v>0.28235668521670093</v>
      </c>
      <c r="G58" s="7">
        <v>1985.6666666666599</v>
      </c>
      <c r="H58">
        <v>1.0264659237103024</v>
      </c>
      <c r="I58" cm="1">
        <f t="array" ref="I58">TREND($H$2:$H$421, $A$2:$A$421, A58)</f>
        <v>1.0272982489856384</v>
      </c>
      <c r="J58">
        <f t="shared" si="2"/>
        <v>-8.3232527533594336E-4</v>
      </c>
      <c r="K58">
        <f t="shared" si="3"/>
        <v>-3.0436362480656082E-2</v>
      </c>
    </row>
    <row r="59" spans="1:11" x14ac:dyDescent="0.35">
      <c r="A59" s="1">
        <v>1985.7500000012101</v>
      </c>
      <c r="B59">
        <v>406.3</v>
      </c>
      <c r="C59" cm="1">
        <f t="array" ref="C59">TREND($B$2:$B$421, $A$2:$A$421, A59)</f>
        <v>305.67270055781773</v>
      </c>
      <c r="D59">
        <f t="shared" si="0"/>
        <v>100.62729944218228</v>
      </c>
      <c r="E59">
        <f t="shared" si="1"/>
        <v>0.71037066245719793</v>
      </c>
      <c r="G59" s="7">
        <v>1985.74999999999</v>
      </c>
      <c r="H59">
        <v>1.0426728091275568</v>
      </c>
      <c r="I59" cm="1">
        <f t="array" ref="I59">TREND($H$2:$H$421, $A$2:$A$421, A59)</f>
        <v>1.0271892742763522</v>
      </c>
      <c r="J59">
        <f t="shared" si="2"/>
        <v>1.5483534851204572E-2</v>
      </c>
      <c r="K59">
        <f t="shared" si="3"/>
        <v>0.56619988984801595</v>
      </c>
    </row>
    <row r="60" spans="1:11" x14ac:dyDescent="0.35">
      <c r="A60" s="1">
        <v>1985.8333333345399</v>
      </c>
      <c r="B60">
        <v>459.5</v>
      </c>
      <c r="C60" cm="1">
        <f t="array" ref="C60">TREND($B$2:$B$421, $A$2:$A$421, A60)</f>
        <v>306.04253530825736</v>
      </c>
      <c r="D60">
        <f t="shared" si="0"/>
        <v>153.45746469174264</v>
      </c>
      <c r="E60">
        <f t="shared" si="1"/>
        <v>1.083321141045934</v>
      </c>
      <c r="G60" s="7">
        <v>1985.8333333333201</v>
      </c>
      <c r="H60">
        <v>1.0451277435999744</v>
      </c>
      <c r="I60" cm="1">
        <f t="array" ref="I60">TREND($H$2:$H$421, $A$2:$A$421, A60)</f>
        <v>1.027080299567066</v>
      </c>
      <c r="J60">
        <f t="shared" si="2"/>
        <v>1.8047444032908366E-2</v>
      </c>
      <c r="K60">
        <f t="shared" si="3"/>
        <v>0.65995658754086228</v>
      </c>
    </row>
    <row r="61" spans="1:11" x14ac:dyDescent="0.35">
      <c r="A61" s="1">
        <v>1985.91666666787</v>
      </c>
      <c r="B61">
        <v>478.3</v>
      </c>
      <c r="C61" cm="1">
        <f t="array" ref="C61">TREND($B$2:$B$421, $A$2:$A$421, A61)</f>
        <v>306.41237005869698</v>
      </c>
      <c r="D61">
        <f t="shared" si="0"/>
        <v>171.88762994130303</v>
      </c>
      <c r="E61">
        <f t="shared" si="1"/>
        <v>1.2134274717345408</v>
      </c>
      <c r="G61" s="7">
        <v>1985.9166666666599</v>
      </c>
      <c r="H61">
        <v>1.0571649813962316</v>
      </c>
      <c r="I61" cm="1">
        <f t="array" ref="I61">TREND($H$2:$H$421, $A$2:$A$421, A61)</f>
        <v>1.0269713248577799</v>
      </c>
      <c r="J61">
        <f t="shared" si="2"/>
        <v>3.0193656538451741E-2</v>
      </c>
      <c r="K61">
        <f t="shared" si="3"/>
        <v>1.1041177076467392</v>
      </c>
    </row>
    <row r="62" spans="1:11" x14ac:dyDescent="0.35">
      <c r="A62" s="1">
        <v>1986.0000000012001</v>
      </c>
      <c r="B62">
        <v>307.5</v>
      </c>
      <c r="C62" cm="1">
        <f t="array" ref="C62">TREND($B$2:$B$421, $A$2:$A$421, A62)</f>
        <v>306.78220480913842</v>
      </c>
      <c r="D62">
        <f t="shared" si="0"/>
        <v>0.71779519086157961</v>
      </c>
      <c r="E62">
        <f t="shared" si="1"/>
        <v>5.0672198107924483E-3</v>
      </c>
      <c r="G62" s="7">
        <v>1985.99999999999</v>
      </c>
      <c r="H62">
        <v>1.0528413144123234</v>
      </c>
      <c r="I62" cm="1">
        <f t="array" ref="I62">TREND($H$2:$H$421, $A$2:$A$421, A62)</f>
        <v>1.0268623501484937</v>
      </c>
      <c r="J62">
        <f t="shared" si="2"/>
        <v>2.5978964263829729E-2</v>
      </c>
      <c r="K62">
        <f t="shared" si="3"/>
        <v>0.94999538838521291</v>
      </c>
    </row>
    <row r="63" spans="1:11" x14ac:dyDescent="0.35">
      <c r="A63" s="1">
        <v>1986.0833333345299</v>
      </c>
      <c r="B63">
        <v>181.2</v>
      </c>
      <c r="C63" cm="1">
        <f t="array" ref="C63">TREND($B$2:$B$421, $A$2:$A$421, A63)</f>
        <v>307.15203955957804</v>
      </c>
      <c r="D63">
        <f t="shared" si="0"/>
        <v>-125.95203955957805</v>
      </c>
      <c r="E63">
        <f t="shared" si="1"/>
        <v>-0.88914871288167074</v>
      </c>
      <c r="G63" s="7">
        <v>1986.0833333333201</v>
      </c>
      <c r="H63">
        <v>1.0253720044746977</v>
      </c>
      <c r="I63" cm="1">
        <f t="array" ref="I63">TREND($H$2:$H$421, $A$2:$A$421, A63)</f>
        <v>1.0267533754392075</v>
      </c>
      <c r="J63">
        <f t="shared" si="2"/>
        <v>-1.3813709645098537E-3</v>
      </c>
      <c r="K63">
        <f t="shared" si="3"/>
        <v>-5.0513793875956503E-2</v>
      </c>
    </row>
    <row r="64" spans="1:11" x14ac:dyDescent="0.35">
      <c r="A64" s="1">
        <v>1986.16666666786</v>
      </c>
      <c r="B64">
        <v>192.4</v>
      </c>
      <c r="C64" cm="1">
        <f t="array" ref="C64">TREND($B$2:$B$421, $A$2:$A$421, A64)</f>
        <v>307.52187431001767</v>
      </c>
      <c r="D64">
        <f t="shared" si="0"/>
        <v>-115.12187431001766</v>
      </c>
      <c r="E64">
        <f t="shared" si="1"/>
        <v>-0.81269399626402283</v>
      </c>
      <c r="G64" s="7">
        <v>1986.1666666666599</v>
      </c>
      <c r="H64">
        <v>0.99725659298403602</v>
      </c>
      <c r="I64" cm="1">
        <f t="array" ref="I64">TREND($H$2:$H$421, $A$2:$A$421, A64)</f>
        <v>1.0266444007299214</v>
      </c>
      <c r="J64">
        <f t="shared" si="2"/>
        <v>-2.9387807745885342E-2</v>
      </c>
      <c r="K64">
        <f t="shared" si="3"/>
        <v>-1.0746495337465538</v>
      </c>
    </row>
    <row r="65" spans="1:11" x14ac:dyDescent="0.35">
      <c r="A65" s="1">
        <v>1986.2500000011901</v>
      </c>
      <c r="B65">
        <v>233.3</v>
      </c>
      <c r="C65" cm="1">
        <f t="array" ref="C65">TREND($B$2:$B$421, $A$2:$A$421, A65)</f>
        <v>307.89170906045911</v>
      </c>
      <c r="D65">
        <f t="shared" si="0"/>
        <v>-74.591709060459095</v>
      </c>
      <c r="E65">
        <f t="shared" si="1"/>
        <v>-0.52657441939540395</v>
      </c>
      <c r="G65" s="7">
        <v>1986.24999999999</v>
      </c>
      <c r="H65">
        <v>0.99107430355667703</v>
      </c>
      <c r="I65" cm="1">
        <f t="array" ref="I65">TREND($H$2:$H$421, $A$2:$A$421, A65)</f>
        <v>1.0265354260206347</v>
      </c>
      <c r="J65">
        <f t="shared" si="2"/>
        <v>-3.5461122463957717E-2</v>
      </c>
      <c r="K65">
        <f t="shared" si="3"/>
        <v>-1.2967377169315109</v>
      </c>
    </row>
    <row r="66" spans="1:11" x14ac:dyDescent="0.35">
      <c r="A66" s="1">
        <v>1986.3333333345199</v>
      </c>
      <c r="B66">
        <v>326.8</v>
      </c>
      <c r="C66" cm="1">
        <f t="array" ref="C66">TREND($B$2:$B$421, $A$2:$A$421, A66)</f>
        <v>308.26154381089873</v>
      </c>
      <c r="D66">
        <f t="shared" si="0"/>
        <v>18.538456189101282</v>
      </c>
      <c r="E66">
        <f t="shared" si="1"/>
        <v>0.13087080222749573</v>
      </c>
      <c r="G66" s="7">
        <v>1986.3333333333201</v>
      </c>
      <c r="H66">
        <v>0.99705410494105751</v>
      </c>
      <c r="I66" cm="1">
        <f t="array" ref="I66">TREND($H$2:$H$421, $A$2:$A$421, A66)</f>
        <v>1.026426451311349</v>
      </c>
      <c r="J66">
        <f t="shared" si="2"/>
        <v>-2.9372346370291513E-2</v>
      </c>
      <c r="K66">
        <f t="shared" si="3"/>
        <v>-1.0740841441735491</v>
      </c>
    </row>
    <row r="67" spans="1:11" x14ac:dyDescent="0.35">
      <c r="A67" s="1">
        <v>1986.41666666785</v>
      </c>
      <c r="B67">
        <v>386.4</v>
      </c>
      <c r="C67" cm="1">
        <f t="array" ref="C67">TREND($B$2:$B$421, $A$2:$A$421, A67)</f>
        <v>308.63137856133835</v>
      </c>
      <c r="D67">
        <f t="shared" ref="D67:D130" si="4">B67 - C67</f>
        <v>77.768621438661626</v>
      </c>
      <c r="E67">
        <f t="shared" ref="E67:E130" si="5">(D67 - AVERAGE($D$2:$D$421)) / _xlfn.STDEV.S($D$2:$D$421)</f>
        <v>0.54900158740230232</v>
      </c>
      <c r="G67" s="7">
        <v>1986.4166666666599</v>
      </c>
      <c r="H67">
        <v>1.0056671527553864</v>
      </c>
      <c r="I67" cm="1">
        <f t="array" ref="I67">TREND($H$2:$H$421, $A$2:$A$421, A67)</f>
        <v>1.0263174766020624</v>
      </c>
      <c r="J67">
        <f t="shared" ref="J67:J130" si="6">H67 - I67</f>
        <v>-2.0650323846675978E-2</v>
      </c>
      <c r="K67">
        <f t="shared" ref="K67:K130" si="7">(J67 - AVERAGE($J$2:$J$421)) / _xlfn.STDEV.S($J$2:$J$421)</f>
        <v>-0.7551383582415373</v>
      </c>
    </row>
    <row r="68" spans="1:11" x14ac:dyDescent="0.35">
      <c r="A68" s="1">
        <v>1986.5000000011801</v>
      </c>
      <c r="B68">
        <v>389.3</v>
      </c>
      <c r="C68" cm="1">
        <f t="array" ref="C68">TREND($B$2:$B$421, $A$2:$A$421, A68)</f>
        <v>309.00121331177979</v>
      </c>
      <c r="D68">
        <f t="shared" si="4"/>
        <v>80.298786688220218</v>
      </c>
      <c r="E68">
        <f t="shared" si="5"/>
        <v>0.56686309391612721</v>
      </c>
      <c r="G68" s="7">
        <v>1986.49999999999</v>
      </c>
      <c r="H68">
        <v>1.0171290118303056</v>
      </c>
      <c r="I68" cm="1">
        <f t="array" ref="I68">TREND($H$2:$H$421, $A$2:$A$421, A68)</f>
        <v>1.0262085018927762</v>
      </c>
      <c r="J68">
        <f t="shared" si="6"/>
        <v>-9.0794900624706631E-3</v>
      </c>
      <c r="K68">
        <f t="shared" si="7"/>
        <v>-0.3320176124283023</v>
      </c>
    </row>
    <row r="69" spans="1:11" x14ac:dyDescent="0.35">
      <c r="A69" s="1">
        <v>1986.5833333345099</v>
      </c>
      <c r="B69">
        <v>270.3</v>
      </c>
      <c r="C69" cm="1">
        <f t="array" ref="C69">TREND($B$2:$B$421, $A$2:$A$421, A69)</f>
        <v>309.37104806221942</v>
      </c>
      <c r="D69">
        <f t="shared" si="4"/>
        <v>-39.071048062219404</v>
      </c>
      <c r="E69">
        <f t="shared" si="5"/>
        <v>-0.27581905157659914</v>
      </c>
      <c r="G69" s="7">
        <v>1986.5833333333301</v>
      </c>
      <c r="H69">
        <v>1.0254954893367214</v>
      </c>
      <c r="I69" cm="1">
        <f t="array" ref="I69">TREND($H$2:$H$421, $A$2:$A$421, A69)</f>
        <v>1.0260995271834905</v>
      </c>
      <c r="J69">
        <f t="shared" si="6"/>
        <v>-6.0403784676910099E-4</v>
      </c>
      <c r="K69">
        <f t="shared" si="7"/>
        <v>-2.208837746622767E-2</v>
      </c>
    </row>
    <row r="70" spans="1:11" x14ac:dyDescent="0.35">
      <c r="A70" s="1">
        <v>1986.66666666784</v>
      </c>
      <c r="B70">
        <v>245.5</v>
      </c>
      <c r="C70" cm="1">
        <f t="array" ref="C70">TREND($B$2:$B$421, $A$2:$A$421, A70)</f>
        <v>309.74088281265904</v>
      </c>
      <c r="D70">
        <f t="shared" si="4"/>
        <v>-64.240882812659038</v>
      </c>
      <c r="E70">
        <f t="shared" si="5"/>
        <v>-0.45350355950559867</v>
      </c>
      <c r="G70" s="7">
        <v>1986.6666666666599</v>
      </c>
      <c r="H70">
        <v>1.0296502141822335</v>
      </c>
      <c r="I70" cm="1">
        <f t="array" ref="I70">TREND($H$2:$H$421, $A$2:$A$421, A70)</f>
        <v>1.0259905524742039</v>
      </c>
      <c r="J70">
        <f t="shared" si="6"/>
        <v>3.6596617080295601E-3</v>
      </c>
      <c r="K70">
        <f t="shared" si="7"/>
        <v>0.13382603364670237</v>
      </c>
    </row>
    <row r="71" spans="1:11" x14ac:dyDescent="0.35">
      <c r="A71" s="1">
        <v>1986.7500000011701</v>
      </c>
      <c r="B71">
        <v>337.8</v>
      </c>
      <c r="C71" cm="1">
        <f t="array" ref="C71">TREND($B$2:$B$421, $A$2:$A$421, A71)</f>
        <v>310.11071756310048</v>
      </c>
      <c r="D71">
        <f t="shared" si="4"/>
        <v>27.689282436899532</v>
      </c>
      <c r="E71">
        <f t="shared" si="5"/>
        <v>0.19547035463239998</v>
      </c>
      <c r="G71" s="7">
        <v>1986.74999999999</v>
      </c>
      <c r="H71">
        <v>1.0303835830364754</v>
      </c>
      <c r="I71" cm="1">
        <f t="array" ref="I71">TREND($H$2:$H$421, $A$2:$A$421, A71)</f>
        <v>1.0258815777649177</v>
      </c>
      <c r="J71">
        <f t="shared" si="6"/>
        <v>4.5020052715576409E-3</v>
      </c>
      <c r="K71">
        <f t="shared" si="7"/>
        <v>0.16462874358775251</v>
      </c>
    </row>
    <row r="72" spans="1:11" x14ac:dyDescent="0.35">
      <c r="A72" s="1">
        <v>1986.8333333344999</v>
      </c>
      <c r="B72">
        <v>460.5</v>
      </c>
      <c r="C72" cm="1">
        <f t="array" ref="C72">TREND($B$2:$B$421, $A$2:$A$421, A72)</f>
        <v>310.4805523135401</v>
      </c>
      <c r="D72">
        <f t="shared" si="4"/>
        <v>150.0194476864599</v>
      </c>
      <c r="E72">
        <f t="shared" si="5"/>
        <v>1.0590507250542467</v>
      </c>
      <c r="G72" s="7">
        <v>1986.8333333333301</v>
      </c>
      <c r="H72">
        <v>1.0391711524402392</v>
      </c>
      <c r="I72" cm="1">
        <f t="array" ref="I72">TREND($H$2:$H$421, $A$2:$A$421, A72)</f>
        <v>1.0257726030556316</v>
      </c>
      <c r="J72">
        <f t="shared" si="6"/>
        <v>1.3398549384607605E-2</v>
      </c>
      <c r="K72">
        <f t="shared" si="7"/>
        <v>0.48995641231742471</v>
      </c>
    </row>
    <row r="73" spans="1:11" x14ac:dyDescent="0.35">
      <c r="A73" s="1">
        <v>1986.91666666783</v>
      </c>
      <c r="B73">
        <v>476.3</v>
      </c>
      <c r="C73" cm="1">
        <f t="array" ref="C73">TREND($B$2:$B$421, $A$2:$A$421, A73)</f>
        <v>310.85038706398154</v>
      </c>
      <c r="D73">
        <f t="shared" si="4"/>
        <v>165.44961293601847</v>
      </c>
      <c r="E73">
        <f t="shared" si="5"/>
        <v>1.16797878703062</v>
      </c>
      <c r="G73" s="7">
        <v>1986.9166666666599</v>
      </c>
      <c r="H73">
        <v>1.0446259010152783</v>
      </c>
      <c r="I73" cm="1">
        <f t="array" ref="I73">TREND($H$2:$H$421, $A$2:$A$421, A73)</f>
        <v>1.0256636283463454</v>
      </c>
      <c r="J73">
        <f t="shared" si="6"/>
        <v>1.8962272668932911E-2</v>
      </c>
      <c r="K73">
        <f t="shared" si="7"/>
        <v>0.6934099221911616</v>
      </c>
    </row>
    <row r="74" spans="1:11" x14ac:dyDescent="0.35">
      <c r="A74" s="1">
        <v>1987.0000000011601</v>
      </c>
      <c r="B74">
        <v>254.4</v>
      </c>
      <c r="C74" cm="1">
        <f t="array" ref="C74">TREND($B$2:$B$421, $A$2:$A$421, A74)</f>
        <v>311.22022181442117</v>
      </c>
      <c r="D74">
        <f t="shared" si="4"/>
        <v>-56.82022181442116</v>
      </c>
      <c r="E74">
        <f t="shared" si="5"/>
        <v>-0.40111797529127302</v>
      </c>
      <c r="G74" s="7">
        <v>1986.99999999999</v>
      </c>
      <c r="H74">
        <v>1.0366234890565553</v>
      </c>
      <c r="I74" cm="1">
        <f t="array" ref="I74">TREND($H$2:$H$421, $A$2:$A$421, A74)</f>
        <v>1.0255546536370592</v>
      </c>
      <c r="J74">
        <f t="shared" si="6"/>
        <v>1.1068835419496104E-2</v>
      </c>
      <c r="K74">
        <f t="shared" si="7"/>
        <v>0.40476373486361156</v>
      </c>
    </row>
    <row r="75" spans="1:11" x14ac:dyDescent="0.35">
      <c r="A75" s="1">
        <v>1987.0833333344899</v>
      </c>
      <c r="B75">
        <v>105.7</v>
      </c>
      <c r="C75" cm="1">
        <f t="array" ref="C75">TREND($B$2:$B$421, $A$2:$A$421, A75)</f>
        <v>311.59005656486079</v>
      </c>
      <c r="D75">
        <f t="shared" si="4"/>
        <v>-205.8900565648608</v>
      </c>
      <c r="E75">
        <f t="shared" si="5"/>
        <v>-1.4534649810349836</v>
      </c>
      <c r="G75" s="7">
        <v>1987.0833333333301</v>
      </c>
      <c r="H75">
        <v>1.0151255791414517</v>
      </c>
      <c r="I75" cm="1">
        <f t="array" ref="I75">TREND($H$2:$H$421, $A$2:$A$421, A75)</f>
        <v>1.0254456789277731</v>
      </c>
      <c r="J75">
        <f t="shared" si="6"/>
        <v>-1.0320099786321313E-2</v>
      </c>
      <c r="K75">
        <f t="shared" si="7"/>
        <v>-0.377384067552339</v>
      </c>
    </row>
    <row r="76" spans="1:11" x14ac:dyDescent="0.35">
      <c r="A76" s="1">
        <v>1987.16666666782</v>
      </c>
      <c r="B76">
        <v>79</v>
      </c>
      <c r="C76" cm="1">
        <f t="array" ref="C76">TREND($B$2:$B$421, $A$2:$A$421, A76)</f>
        <v>311.95989131530223</v>
      </c>
      <c r="D76">
        <f t="shared" si="4"/>
        <v>-232.95989131530223</v>
      </c>
      <c r="E76">
        <f t="shared" si="5"/>
        <v>-1.6445623924817354</v>
      </c>
      <c r="G76" s="7">
        <v>1987.1666666666599</v>
      </c>
      <c r="H76">
        <v>0.99025380403565821</v>
      </c>
      <c r="I76" cm="1">
        <f t="array" ref="I76">TREND($H$2:$H$421, $A$2:$A$421, A76)</f>
        <v>1.0253367042184869</v>
      </c>
      <c r="J76">
        <f t="shared" si="6"/>
        <v>-3.5082900182828669E-2</v>
      </c>
      <c r="K76">
        <f t="shared" si="7"/>
        <v>-1.2829069337175165</v>
      </c>
    </row>
    <row r="77" spans="1:11" x14ac:dyDescent="0.35">
      <c r="A77" s="1">
        <v>1987.2500000011501</v>
      </c>
      <c r="B77">
        <v>118.8</v>
      </c>
      <c r="C77" cm="1">
        <f t="array" ref="C77">TREND($B$2:$B$421, $A$2:$A$421, A77)</f>
        <v>312.32972606574185</v>
      </c>
      <c r="D77">
        <f t="shared" si="4"/>
        <v>-193.52972606574184</v>
      </c>
      <c r="E77">
        <f t="shared" si="5"/>
        <v>-1.3662081808075843</v>
      </c>
      <c r="G77" s="7">
        <v>1987.24999999999</v>
      </c>
      <c r="H77">
        <v>0.98585379456724653</v>
      </c>
      <c r="I77" cm="1">
        <f t="array" ref="I77">TREND($H$2:$H$421, $A$2:$A$421, A77)</f>
        <v>1.0252277295092007</v>
      </c>
      <c r="J77">
        <f t="shared" si="6"/>
        <v>-3.9373934941954181E-2</v>
      </c>
      <c r="K77">
        <f t="shared" si="7"/>
        <v>-1.4398209350291686</v>
      </c>
    </row>
    <row r="78" spans="1:11" x14ac:dyDescent="0.35">
      <c r="A78" s="1">
        <v>1987.3333333344799</v>
      </c>
      <c r="B78">
        <v>247.8</v>
      </c>
      <c r="C78" cm="1">
        <f t="array" ref="C78">TREND($B$2:$B$421, $A$2:$A$421, A78)</f>
        <v>312.69956081618147</v>
      </c>
      <c r="D78">
        <f t="shared" si="4"/>
        <v>-64.899560816181463</v>
      </c>
      <c r="E78">
        <f t="shared" si="5"/>
        <v>-0.4581534460900743</v>
      </c>
      <c r="G78" s="7">
        <v>1987.3333333333301</v>
      </c>
      <c r="H78">
        <v>0.98976789201845883</v>
      </c>
      <c r="I78" cm="1">
        <f t="array" ref="I78">TREND($H$2:$H$421, $A$2:$A$421, A78)</f>
        <v>1.0251187547999145</v>
      </c>
      <c r="J78">
        <f t="shared" si="6"/>
        <v>-3.5350862781455716E-2</v>
      </c>
      <c r="K78">
        <f t="shared" si="7"/>
        <v>-1.292705755193623</v>
      </c>
    </row>
    <row r="79" spans="1:11" x14ac:dyDescent="0.35">
      <c r="A79" s="1">
        <v>1987.41666666781</v>
      </c>
      <c r="B79">
        <v>321.3</v>
      </c>
      <c r="C79" cm="1">
        <f t="array" ref="C79">TREND($B$2:$B$421, $A$2:$A$421, A79)</f>
        <v>313.06939556662292</v>
      </c>
      <c r="D79">
        <f t="shared" si="4"/>
        <v>8.2306044333770956</v>
      </c>
      <c r="E79">
        <f t="shared" si="5"/>
        <v>5.810331745134182E-2</v>
      </c>
      <c r="G79" s="7">
        <v>1987.4166666666599</v>
      </c>
      <c r="H79">
        <v>0.99206525894840913</v>
      </c>
      <c r="I79" cm="1">
        <f t="array" ref="I79">TREND($H$2:$H$421, $A$2:$A$421, A79)</f>
        <v>1.0250097800906284</v>
      </c>
      <c r="J79">
        <f t="shared" si="6"/>
        <v>-3.2944521142219241E-2</v>
      </c>
      <c r="K79">
        <f t="shared" si="7"/>
        <v>-1.2047109669126757</v>
      </c>
    </row>
    <row r="80" spans="1:11" x14ac:dyDescent="0.35">
      <c r="A80" s="1">
        <v>1987.5000000011401</v>
      </c>
      <c r="B80">
        <v>279.7</v>
      </c>
      <c r="C80" cm="1">
        <f t="array" ref="C80">TREND($B$2:$B$421, $A$2:$A$421, A80)</f>
        <v>313.43923031706254</v>
      </c>
      <c r="D80">
        <f t="shared" si="4"/>
        <v>-33.73923031706255</v>
      </c>
      <c r="E80">
        <f t="shared" si="5"/>
        <v>-0.23817949526609317</v>
      </c>
      <c r="G80" s="7">
        <v>1987.49999999999</v>
      </c>
      <c r="H80">
        <v>1.0031770438788772</v>
      </c>
      <c r="I80" cm="1">
        <f t="array" ref="I80">TREND($H$2:$H$421, $A$2:$A$421, A80)</f>
        <v>1.0249008053813422</v>
      </c>
      <c r="J80">
        <f t="shared" si="6"/>
        <v>-2.1723761502465022E-2</v>
      </c>
      <c r="K80">
        <f t="shared" si="7"/>
        <v>-0.79439168691016482</v>
      </c>
    </row>
    <row r="81" spans="1:11" x14ac:dyDescent="0.35">
      <c r="A81" s="1">
        <v>1987.5833333344699</v>
      </c>
      <c r="B81">
        <v>350.9</v>
      </c>
      <c r="C81" cm="1">
        <f t="array" ref="C81">TREND($B$2:$B$421, $A$2:$A$421, A81)</f>
        <v>313.80906506750216</v>
      </c>
      <c r="D81">
        <f t="shared" si="4"/>
        <v>37.090934932497817</v>
      </c>
      <c r="E81">
        <f t="shared" si="5"/>
        <v>0.26184059559596662</v>
      </c>
      <c r="G81" s="7">
        <v>1987.5833333333301</v>
      </c>
      <c r="H81">
        <v>1.0133783891533641</v>
      </c>
      <c r="I81" cm="1">
        <f t="array" ref="I81">TREND($H$2:$H$421, $A$2:$A$421, A81)</f>
        <v>1.024791830672056</v>
      </c>
      <c r="J81">
        <f t="shared" si="6"/>
        <v>-1.1413441518691947E-2</v>
      </c>
      <c r="K81">
        <f t="shared" si="7"/>
        <v>-0.41736524590621765</v>
      </c>
    </row>
    <row r="82" spans="1:11" x14ac:dyDescent="0.35">
      <c r="A82" s="1">
        <v>1987.6666666678</v>
      </c>
      <c r="B82">
        <v>385.4</v>
      </c>
      <c r="C82" cm="1">
        <f t="array" ref="C82">TREND($B$2:$B$421, $A$2:$A$421, A82)</f>
        <v>314.1788998179436</v>
      </c>
      <c r="D82">
        <f t="shared" si="4"/>
        <v>71.221100182056375</v>
      </c>
      <c r="E82">
        <f t="shared" si="5"/>
        <v>0.50277986587851486</v>
      </c>
      <c r="G82" s="7">
        <v>1987.6666666666599</v>
      </c>
      <c r="H82">
        <v>1.0271699279033442</v>
      </c>
      <c r="I82" cm="1">
        <f t="array" ref="I82">TREND($H$2:$H$421, $A$2:$A$421, A82)</f>
        <v>1.0246828559627699</v>
      </c>
      <c r="J82">
        <f t="shared" si="6"/>
        <v>2.4870719405742925E-3</v>
      </c>
      <c r="K82">
        <f t="shared" si="7"/>
        <v>9.094692344671812E-2</v>
      </c>
    </row>
    <row r="83" spans="1:11" x14ac:dyDescent="0.35">
      <c r="A83" s="1">
        <v>1987.75000000113</v>
      </c>
      <c r="B83">
        <v>456.9</v>
      </c>
      <c r="C83" cm="1">
        <f t="array" ref="C83">TREND($B$2:$B$421, $A$2:$A$421, A83)</f>
        <v>314.54873456838322</v>
      </c>
      <c r="D83">
        <f t="shared" si="4"/>
        <v>142.35126543161675</v>
      </c>
      <c r="E83">
        <f t="shared" si="5"/>
        <v>1.0049177836117968</v>
      </c>
      <c r="G83" s="7">
        <v>1987.74999999999</v>
      </c>
      <c r="H83">
        <v>1.0430244939314395</v>
      </c>
      <c r="I83" cm="1">
        <f t="array" ref="I83">TREND($H$2:$H$421, $A$2:$A$421, A83)</f>
        <v>1.0245738812534833</v>
      </c>
      <c r="J83">
        <f t="shared" si="6"/>
        <v>1.8450612677956224E-2</v>
      </c>
      <c r="K83">
        <f t="shared" si="7"/>
        <v>0.67469960614804536</v>
      </c>
    </row>
    <row r="84" spans="1:11" x14ac:dyDescent="0.35">
      <c r="A84" s="1">
        <v>1987.8333333344599</v>
      </c>
      <c r="B84">
        <v>547.29999999999995</v>
      </c>
      <c r="C84" cm="1">
        <f t="array" ref="C84">TREND($B$2:$B$421, $A$2:$A$421, A84)</f>
        <v>314.91856931882285</v>
      </c>
      <c r="D84">
        <f t="shared" si="4"/>
        <v>232.38143068117711</v>
      </c>
      <c r="E84">
        <f t="shared" si="5"/>
        <v>1.6404787942320682</v>
      </c>
      <c r="G84" s="7">
        <v>1987.8333333333301</v>
      </c>
      <c r="H84">
        <v>1.0503281459911926</v>
      </c>
      <c r="I84" cm="1">
        <f t="array" ref="I84">TREND($H$2:$H$421, $A$2:$A$421, A84)</f>
        <v>1.0244649065441975</v>
      </c>
      <c r="J84">
        <f t="shared" si="6"/>
        <v>2.586323944699509E-2</v>
      </c>
      <c r="K84">
        <f t="shared" si="7"/>
        <v>0.94576357832542168</v>
      </c>
    </row>
    <row r="85" spans="1:11" x14ac:dyDescent="0.35">
      <c r="A85" s="1">
        <v>1987.91666666779</v>
      </c>
      <c r="B85">
        <v>603.29999999999995</v>
      </c>
      <c r="C85" cm="1">
        <f t="array" ref="C85">TREND($B$2:$B$421, $A$2:$A$421, A85)</f>
        <v>315.28840406926429</v>
      </c>
      <c r="D85">
        <f t="shared" si="4"/>
        <v>288.01159593073567</v>
      </c>
      <c r="E85">
        <f t="shared" si="5"/>
        <v>2.0331956569521976</v>
      </c>
      <c r="G85" s="7">
        <v>1987.9166666666599</v>
      </c>
      <c r="H85">
        <v>1.0618747083986428</v>
      </c>
      <c r="I85" cm="1">
        <f t="array" ref="I85">TREND($H$2:$H$421, $A$2:$A$421, A85)</f>
        <v>1.0243559318349114</v>
      </c>
      <c r="J85">
        <f t="shared" si="6"/>
        <v>3.7518776563731482E-2</v>
      </c>
      <c r="K85">
        <f t="shared" si="7"/>
        <v>1.3719817445926898</v>
      </c>
    </row>
    <row r="86" spans="1:11" x14ac:dyDescent="0.35">
      <c r="A86" s="1">
        <v>1988.00000000112</v>
      </c>
      <c r="B86">
        <v>438.4</v>
      </c>
      <c r="C86" cm="1">
        <f t="array" ref="C86">TREND($B$2:$B$421, $A$2:$A$421, A86)</f>
        <v>315.65823881970391</v>
      </c>
      <c r="D86">
        <f t="shared" si="4"/>
        <v>122.74176118029607</v>
      </c>
      <c r="E86">
        <f t="shared" si="5"/>
        <v>0.86648600016249622</v>
      </c>
      <c r="G86" s="7">
        <v>1987.99999999999</v>
      </c>
      <c r="H86">
        <v>1.0557346985637257</v>
      </c>
      <c r="I86" cm="1">
        <f t="array" ref="I86">TREND($H$2:$H$421, $A$2:$A$421, A86)</f>
        <v>1.0242469571256247</v>
      </c>
      <c r="J86">
        <f t="shared" si="6"/>
        <v>3.1487741438100958E-2</v>
      </c>
      <c r="K86">
        <f t="shared" si="7"/>
        <v>1.1514396360485331</v>
      </c>
    </row>
    <row r="87" spans="1:11" x14ac:dyDescent="0.35">
      <c r="A87" s="1">
        <v>1988.0833333344499</v>
      </c>
      <c r="B87">
        <v>192.3</v>
      </c>
      <c r="C87" cm="1">
        <f t="array" ref="C87">TREND($B$2:$B$421, $A$2:$A$421, A87)</f>
        <v>316.02807357014353</v>
      </c>
      <c r="D87">
        <f t="shared" si="4"/>
        <v>-123.72807357014352</v>
      </c>
      <c r="E87">
        <f t="shared" si="5"/>
        <v>-0.87344879643797613</v>
      </c>
      <c r="G87" s="7">
        <v>1988.0833333333301</v>
      </c>
      <c r="H87">
        <v>1.0202605081873253</v>
      </c>
      <c r="I87" cm="1">
        <f t="array" ref="I87">TREND($H$2:$H$421, $A$2:$A$421, A87)</f>
        <v>1.024137982416339</v>
      </c>
      <c r="J87">
        <f t="shared" si="6"/>
        <v>-3.8774742290137443E-3</v>
      </c>
      <c r="K87">
        <f t="shared" si="7"/>
        <v>-0.1417909736022292</v>
      </c>
    </row>
    <row r="88" spans="1:11" x14ac:dyDescent="0.35">
      <c r="A88" s="1">
        <v>1988.16666666778</v>
      </c>
      <c r="B88">
        <v>123.6</v>
      </c>
      <c r="C88" cm="1">
        <f t="array" ref="C88">TREND($B$2:$B$421, $A$2:$A$421, A88)</f>
        <v>316.39790832058497</v>
      </c>
      <c r="D88">
        <f t="shared" si="4"/>
        <v>-192.79790832058498</v>
      </c>
      <c r="E88">
        <f t="shared" si="5"/>
        <v>-1.3610419698558167</v>
      </c>
      <c r="G88" s="7">
        <v>1988.1666666666599</v>
      </c>
      <c r="H88">
        <v>0.99292787250045744</v>
      </c>
      <c r="I88" cm="1">
        <f t="array" ref="I88">TREND($H$2:$H$421, $A$2:$A$421, A88)</f>
        <v>1.0240290077070524</v>
      </c>
      <c r="J88">
        <f t="shared" si="6"/>
        <v>-3.1101135206594965E-2</v>
      </c>
      <c r="K88">
        <f t="shared" si="7"/>
        <v>-1.1373022696269475</v>
      </c>
    </row>
    <row r="89" spans="1:11" x14ac:dyDescent="0.35">
      <c r="A89" s="1">
        <v>1988.25000000111</v>
      </c>
      <c r="B89">
        <v>175</v>
      </c>
      <c r="C89" cm="1">
        <f t="array" ref="C89">TREND($B$2:$B$421, $A$2:$A$421, A89)</f>
        <v>316.7677430710246</v>
      </c>
      <c r="D89">
        <f t="shared" si="4"/>
        <v>-141.7677430710246</v>
      </c>
      <c r="E89">
        <f t="shared" si="5"/>
        <v>-1.0007984524944127</v>
      </c>
      <c r="G89" s="7">
        <v>1988.24999999999</v>
      </c>
      <c r="H89">
        <v>0.99112154731294599</v>
      </c>
      <c r="I89" cm="1">
        <f t="array" ref="I89">TREND($H$2:$H$421, $A$2:$A$421, A89)</f>
        <v>1.0239200329977662</v>
      </c>
      <c r="J89">
        <f t="shared" si="6"/>
        <v>-3.2798485684820244E-2</v>
      </c>
      <c r="K89">
        <f t="shared" si="7"/>
        <v>-1.1993707612885842</v>
      </c>
    </row>
    <row r="90" spans="1:11" x14ac:dyDescent="0.35">
      <c r="A90" s="1">
        <v>1988.3333333344401</v>
      </c>
      <c r="B90">
        <v>286.3</v>
      </c>
      <c r="C90" cm="1">
        <f t="array" ref="C90">TREND($B$2:$B$421, $A$2:$A$421, A90)</f>
        <v>317.13757782146604</v>
      </c>
      <c r="D90">
        <f t="shared" si="4"/>
        <v>-30.837577821466027</v>
      </c>
      <c r="E90">
        <f t="shared" si="5"/>
        <v>-0.21769550317901695</v>
      </c>
      <c r="G90" s="7">
        <v>1988.3333333333301</v>
      </c>
      <c r="H90">
        <v>0.99595038431034311</v>
      </c>
      <c r="I90" cm="1">
        <f t="array" ref="I90">TREND($H$2:$H$421, $A$2:$A$421, A90)</f>
        <v>1.0238110582884801</v>
      </c>
      <c r="J90">
        <f t="shared" si="6"/>
        <v>-2.7860673978136963E-2</v>
      </c>
      <c r="K90">
        <f t="shared" si="7"/>
        <v>-1.0188055046284181</v>
      </c>
    </row>
    <row r="91" spans="1:11" x14ac:dyDescent="0.35">
      <c r="A91" s="1">
        <v>1988.41666666777</v>
      </c>
      <c r="B91">
        <v>347</v>
      </c>
      <c r="C91" cm="1">
        <f t="array" ref="C91">TREND($B$2:$B$421, $A$2:$A$421, A91)</f>
        <v>317.50741257190566</v>
      </c>
      <c r="D91">
        <f t="shared" si="4"/>
        <v>29.492587428094339</v>
      </c>
      <c r="E91">
        <f t="shared" si="5"/>
        <v>0.2082006471902707</v>
      </c>
      <c r="G91" s="7">
        <v>1988.4166666666599</v>
      </c>
      <c r="H91">
        <v>1.0020638997179456</v>
      </c>
      <c r="I91" cm="1">
        <f t="array" ref="I91">TREND($H$2:$H$421, $A$2:$A$421, A91)</f>
        <v>1.0237020835791939</v>
      </c>
      <c r="J91">
        <f t="shared" si="6"/>
        <v>-2.1638183861248272E-2</v>
      </c>
      <c r="K91">
        <f t="shared" si="7"/>
        <v>-0.79126229484975896</v>
      </c>
    </row>
    <row r="92" spans="1:11" x14ac:dyDescent="0.35">
      <c r="A92" s="1">
        <v>1988.5000000011</v>
      </c>
      <c r="B92">
        <v>473.6</v>
      </c>
      <c r="C92" cm="1">
        <f t="array" ref="C92">TREND($B$2:$B$421, $A$2:$A$421, A92)</f>
        <v>317.87724732234528</v>
      </c>
      <c r="D92">
        <f t="shared" si="4"/>
        <v>155.72275267765474</v>
      </c>
      <c r="E92">
        <f t="shared" si="5"/>
        <v>1.0993127669380045</v>
      </c>
      <c r="G92" s="7">
        <v>1988.5</v>
      </c>
      <c r="H92">
        <v>1.0093193438222299</v>
      </c>
      <c r="I92" cm="1">
        <f t="array" ref="I92">TREND($H$2:$H$421, $A$2:$A$421, A92)</f>
        <v>1.0235931088699077</v>
      </c>
      <c r="J92">
        <f t="shared" si="6"/>
        <v>-1.4273765047677855E-2</v>
      </c>
      <c r="K92">
        <f t="shared" si="7"/>
        <v>-0.52196118492175525</v>
      </c>
    </row>
    <row r="93" spans="1:11" x14ac:dyDescent="0.35">
      <c r="A93" s="1">
        <v>1988.5833333344301</v>
      </c>
      <c r="B93">
        <v>555.29999999999995</v>
      </c>
      <c r="C93" cm="1">
        <f t="array" ref="C93">TREND($B$2:$B$421, $A$2:$A$421, A93)</f>
        <v>318.24708207278672</v>
      </c>
      <c r="D93">
        <f t="shared" si="4"/>
        <v>237.05291792721323</v>
      </c>
      <c r="E93">
        <f t="shared" si="5"/>
        <v>1.673456798292823</v>
      </c>
      <c r="G93" s="7">
        <v>1988.5833333333301</v>
      </c>
      <c r="H93">
        <v>1.0211307536210812</v>
      </c>
      <c r="I93" cm="1">
        <f t="array" ref="I93">TREND($H$2:$H$421, $A$2:$A$421, A93)</f>
        <v>1.0234841341606216</v>
      </c>
      <c r="J93">
        <f t="shared" si="6"/>
        <v>-2.3533805395403729E-3</v>
      </c>
      <c r="K93">
        <f t="shared" si="7"/>
        <v>-8.6058113671296579E-2</v>
      </c>
    </row>
    <row r="94" spans="1:11" x14ac:dyDescent="0.35">
      <c r="A94" s="1">
        <v>1988.66666666776</v>
      </c>
      <c r="B94">
        <v>623.9</v>
      </c>
      <c r="C94" cm="1">
        <f t="array" ref="C94">TREND($B$2:$B$421, $A$2:$A$421, A94)</f>
        <v>318.61691682322635</v>
      </c>
      <c r="D94">
        <f t="shared" si="4"/>
        <v>305.28308317677363</v>
      </c>
      <c r="E94">
        <f t="shared" si="5"/>
        <v>2.1551223896042919</v>
      </c>
      <c r="G94" s="7">
        <v>1988.6666666666599</v>
      </c>
      <c r="H94">
        <v>1.0410950189167185</v>
      </c>
      <c r="I94" cm="1">
        <f t="array" ref="I94">TREND($H$2:$H$421, $A$2:$A$421, A94)</f>
        <v>1.0233751594513354</v>
      </c>
      <c r="J94">
        <f t="shared" si="6"/>
        <v>1.7719859465383125E-2</v>
      </c>
      <c r="K94">
        <f t="shared" si="7"/>
        <v>0.64797751765590794</v>
      </c>
    </row>
    <row r="95" spans="1:11" x14ac:dyDescent="0.35">
      <c r="A95" s="1">
        <v>1988.7500000011</v>
      </c>
      <c r="B95">
        <v>683.7</v>
      </c>
      <c r="C95" cm="1">
        <f t="array" ref="C95">TREND($B$2:$B$421, $A$2:$A$421, A95)</f>
        <v>318.98675157371144</v>
      </c>
      <c r="D95">
        <f t="shared" si="4"/>
        <v>364.7132484262886</v>
      </c>
      <c r="E95">
        <f t="shared" si="5"/>
        <v>2.5746650593595928</v>
      </c>
      <c r="G95" s="7">
        <v>1988.75</v>
      </c>
      <c r="H95">
        <v>1.064234947716878</v>
      </c>
      <c r="I95" cm="1">
        <f t="array" ref="I95">TREND($H$2:$H$421, $A$2:$A$421, A95)</f>
        <v>1.0232661847420359</v>
      </c>
      <c r="J95">
        <f t="shared" si="6"/>
        <v>4.0968762974842088E-2</v>
      </c>
      <c r="K95">
        <f t="shared" si="7"/>
        <v>1.4981403992358222</v>
      </c>
    </row>
    <row r="96" spans="1:11" x14ac:dyDescent="0.35">
      <c r="A96" s="1">
        <v>1988.8333333344301</v>
      </c>
      <c r="B96">
        <v>677.1</v>
      </c>
      <c r="C96" cm="1">
        <f t="array" ref="C96">TREND($B$2:$B$421, $A$2:$A$421, A96)</f>
        <v>319.35658632415107</v>
      </c>
      <c r="D96">
        <f t="shared" si="4"/>
        <v>357.74341367584896</v>
      </c>
      <c r="E96">
        <f t="shared" si="5"/>
        <v>2.5254620482847319</v>
      </c>
      <c r="G96" s="7">
        <v>1988.8333333333301</v>
      </c>
      <c r="H96">
        <v>1.0909702872506679</v>
      </c>
      <c r="I96" cm="1">
        <f t="array" ref="I96">TREND($H$2:$H$421, $A$2:$A$421, A96)</f>
        <v>1.0231572100327497</v>
      </c>
      <c r="J96">
        <f t="shared" si="6"/>
        <v>6.7813077217918183E-2</v>
      </c>
      <c r="K96">
        <f t="shared" si="7"/>
        <v>2.479779793181649</v>
      </c>
    </row>
    <row r="97" spans="1:11" x14ac:dyDescent="0.35">
      <c r="A97" s="1">
        <v>1988.91666666776</v>
      </c>
      <c r="B97">
        <v>670</v>
      </c>
      <c r="C97" cm="1">
        <f t="array" ref="C97">TREND($B$2:$B$421, $A$2:$A$421, A97)</f>
        <v>319.72642107459069</v>
      </c>
      <c r="D97">
        <f t="shared" si="4"/>
        <v>350.27357892540931</v>
      </c>
      <c r="E97">
        <f t="shared" si="5"/>
        <v>2.4727293257578338</v>
      </c>
      <c r="G97" s="7">
        <v>1988.9166666666599</v>
      </c>
      <c r="H97">
        <v>1.1158343858335098</v>
      </c>
      <c r="I97" cm="1">
        <f t="array" ref="I97">TREND($H$2:$H$421, $A$2:$A$421, A97)</f>
        <v>1.023048235323464</v>
      </c>
      <c r="J97">
        <f t="shared" si="6"/>
        <v>9.2786150510045795E-2</v>
      </c>
      <c r="K97">
        <f t="shared" si="7"/>
        <v>3.3929918912620405</v>
      </c>
    </row>
    <row r="98" spans="1:11" x14ac:dyDescent="0.35">
      <c r="A98" s="1">
        <v>1989.00000000109</v>
      </c>
      <c r="B98">
        <v>546.9</v>
      </c>
      <c r="C98" cm="1">
        <f t="array" ref="C98">TREND($B$2:$B$421, $A$2:$A$421, A98)</f>
        <v>320.09625582503213</v>
      </c>
      <c r="D98">
        <f t="shared" si="4"/>
        <v>226.80374417496785</v>
      </c>
      <c r="E98">
        <f t="shared" si="5"/>
        <v>1.6011035463583927</v>
      </c>
      <c r="G98" s="7">
        <v>1989</v>
      </c>
      <c r="H98">
        <v>1.11035764613026</v>
      </c>
      <c r="I98" cm="1">
        <f t="array" ref="I98">TREND($H$2:$H$421, $A$2:$A$421, A98)</f>
        <v>1.0229392606141774</v>
      </c>
      <c r="J98">
        <f t="shared" si="6"/>
        <v>8.7418385516082608E-2</v>
      </c>
      <c r="K98">
        <f t="shared" si="7"/>
        <v>3.1967041586790885</v>
      </c>
    </row>
    <row r="99" spans="1:11" x14ac:dyDescent="0.35">
      <c r="A99" s="1">
        <v>1989.0833333344201</v>
      </c>
      <c r="B99">
        <v>374</v>
      </c>
      <c r="C99" cm="1">
        <f t="array" ref="C99">TREND($B$2:$B$421, $A$2:$A$421, A99)</f>
        <v>320.46609057547175</v>
      </c>
      <c r="D99">
        <f t="shared" si="4"/>
        <v>53.533909424528247</v>
      </c>
      <c r="E99">
        <f t="shared" si="5"/>
        <v>0.37791850633610308</v>
      </c>
      <c r="G99" s="7">
        <v>1989.0833333333333</v>
      </c>
      <c r="H99">
        <v>1.0607709966955345</v>
      </c>
      <c r="I99" cm="1">
        <f t="array" ref="I99">TREND($H$2:$H$421, $A$2:$A$421, A99)</f>
        <v>1.0228302859048912</v>
      </c>
      <c r="J99">
        <f t="shared" si="6"/>
        <v>3.7940710790643317E-2</v>
      </c>
      <c r="K99">
        <f t="shared" si="7"/>
        <v>1.3874109805582748</v>
      </c>
    </row>
    <row r="100" spans="1:11" x14ac:dyDescent="0.35">
      <c r="A100" s="1">
        <v>1989.16666666775</v>
      </c>
      <c r="B100">
        <v>254.9</v>
      </c>
      <c r="C100" cm="1">
        <f t="array" ref="C100">TREND($B$2:$B$421, $A$2:$A$421, A100)</f>
        <v>320.83592532591138</v>
      </c>
      <c r="D100">
        <f t="shared" si="4"/>
        <v>-65.93592532591137</v>
      </c>
      <c r="E100">
        <f t="shared" si="5"/>
        <v>-0.46546958144703054</v>
      </c>
      <c r="G100" s="7">
        <v>1989.1666666666665</v>
      </c>
      <c r="H100">
        <v>1.0146705905349678</v>
      </c>
      <c r="I100" cm="1">
        <f t="array" ref="I100">TREND($H$2:$H$421, $A$2:$A$421, A100)</f>
        <v>1.0227213111956051</v>
      </c>
      <c r="J100">
        <f t="shared" si="6"/>
        <v>-8.0507206606372783E-3</v>
      </c>
      <c r="K100">
        <f t="shared" si="7"/>
        <v>-0.29439770666422743</v>
      </c>
    </row>
    <row r="101" spans="1:11" x14ac:dyDescent="0.35">
      <c r="A101" s="1">
        <v>1989.25000000108</v>
      </c>
      <c r="B101">
        <v>219.7</v>
      </c>
      <c r="C101" cm="1">
        <f t="array" ref="C101">TREND($B$2:$B$421, $A$2:$A$421, A101)</f>
        <v>321.20576007635282</v>
      </c>
      <c r="D101">
        <f t="shared" si="4"/>
        <v>-101.50576007635283</v>
      </c>
      <c r="E101">
        <f t="shared" si="5"/>
        <v>-0.71657208757840773</v>
      </c>
      <c r="G101" s="7">
        <v>1989.25</v>
      </c>
      <c r="H101">
        <v>0.99838791781502745</v>
      </c>
      <c r="I101" cm="1">
        <f t="array" ref="I101">TREND($H$2:$H$421, $A$2:$A$421, A101)</f>
        <v>1.0226123364863189</v>
      </c>
      <c r="J101">
        <f t="shared" si="6"/>
        <v>-2.4224418671291437E-2</v>
      </c>
      <c r="K101">
        <f t="shared" si="7"/>
        <v>-0.88583539321777516</v>
      </c>
    </row>
    <row r="102" spans="1:11" x14ac:dyDescent="0.35">
      <c r="A102" s="1">
        <v>1989.3333333344101</v>
      </c>
      <c r="B102">
        <v>237.3</v>
      </c>
      <c r="C102" cm="1">
        <f t="array" ref="C102">TREND($B$2:$B$421, $A$2:$A$421, A102)</f>
        <v>321.57559482679244</v>
      </c>
      <c r="D102">
        <f t="shared" si="4"/>
        <v>-84.275594826792428</v>
      </c>
      <c r="E102">
        <f t="shared" si="5"/>
        <v>-0.59493706437468918</v>
      </c>
      <c r="G102" s="7">
        <v>1989.3333333333333</v>
      </c>
      <c r="H102">
        <v>1.0026834674558531</v>
      </c>
      <c r="I102" cm="1">
        <f t="array" ref="I102">TREND($H$2:$H$421, $A$2:$A$421, A102)</f>
        <v>1.0225033617770327</v>
      </c>
      <c r="J102">
        <f t="shared" si="6"/>
        <v>-1.9819894321179587E-2</v>
      </c>
      <c r="K102">
        <f t="shared" si="7"/>
        <v>-0.7247713192946118</v>
      </c>
    </row>
    <row r="103" spans="1:11" x14ac:dyDescent="0.35">
      <c r="A103" s="1">
        <v>1989.4166666677399</v>
      </c>
      <c r="B103">
        <v>313</v>
      </c>
      <c r="C103" cm="1">
        <f t="array" ref="C103">TREND($B$2:$B$421, $A$2:$A$421, A103)</f>
        <v>321.94542957723206</v>
      </c>
      <c r="D103">
        <f t="shared" si="4"/>
        <v>-8.945429577232062</v>
      </c>
      <c r="E103">
        <f t="shared" si="5"/>
        <v>-6.3149570444298461E-2</v>
      </c>
      <c r="G103" s="7">
        <v>1989.4166666666665</v>
      </c>
      <c r="H103">
        <v>1.0065647180749866</v>
      </c>
      <c r="I103" cm="1">
        <f t="array" ref="I103">TREND($H$2:$H$421, $A$2:$A$421, A103)</f>
        <v>1.0223943870677465</v>
      </c>
      <c r="J103">
        <f t="shared" si="6"/>
        <v>-1.5829668992759949E-2</v>
      </c>
      <c r="K103">
        <f t="shared" si="7"/>
        <v>-0.57885727814500654</v>
      </c>
    </row>
    <row r="104" spans="1:11" x14ac:dyDescent="0.35">
      <c r="A104" s="1">
        <v>1989.50000000107</v>
      </c>
      <c r="B104">
        <v>318.2</v>
      </c>
      <c r="C104" cm="1">
        <f t="array" ref="C104">TREND($B$2:$B$421, $A$2:$A$421, A104)</f>
        <v>322.3152643276735</v>
      </c>
      <c r="D104">
        <f t="shared" si="4"/>
        <v>-4.1152643276735148</v>
      </c>
      <c r="E104">
        <f t="shared" si="5"/>
        <v>-2.9051391251104803E-2</v>
      </c>
      <c r="G104" s="7">
        <v>1989.5</v>
      </c>
      <c r="H104">
        <v>1.0091846926445431</v>
      </c>
      <c r="I104" cm="1">
        <f t="array" ref="I104">TREND($H$2:$H$421, $A$2:$A$421, A104)</f>
        <v>1.0222854123584604</v>
      </c>
      <c r="J104">
        <f t="shared" si="6"/>
        <v>-1.3100719713917242E-2</v>
      </c>
      <c r="K104">
        <f t="shared" si="7"/>
        <v>-0.47906541563233285</v>
      </c>
    </row>
    <row r="105" spans="1:11" x14ac:dyDescent="0.35">
      <c r="A105" s="1">
        <v>1989.5833333344001</v>
      </c>
      <c r="B105">
        <v>305.7</v>
      </c>
      <c r="C105" cm="1">
        <f t="array" ref="C105">TREND($B$2:$B$421, $A$2:$A$421, A105)</f>
        <v>322.68509907811313</v>
      </c>
      <c r="D105">
        <f t="shared" si="4"/>
        <v>-16.985099078113137</v>
      </c>
      <c r="E105">
        <f t="shared" si="5"/>
        <v>-0.11990499745999979</v>
      </c>
      <c r="G105" s="7">
        <v>1989.5833333333333</v>
      </c>
      <c r="H105">
        <v>1.0260342715299779</v>
      </c>
      <c r="I105" cm="1">
        <f t="array" ref="I105">TREND($H$2:$H$421, $A$2:$A$421, A105)</f>
        <v>1.0221764376491742</v>
      </c>
      <c r="J105">
        <f t="shared" si="6"/>
        <v>3.8578338808037405E-3</v>
      </c>
      <c r="K105">
        <f t="shared" si="7"/>
        <v>0.14107276790176534</v>
      </c>
    </row>
    <row r="106" spans="1:11" x14ac:dyDescent="0.35">
      <c r="A106" s="1">
        <v>1989.6666666677299</v>
      </c>
      <c r="B106">
        <v>356.6</v>
      </c>
      <c r="C106" cm="1">
        <f t="array" ref="C106">TREND($B$2:$B$421, $A$2:$A$421, A106)</f>
        <v>323.05493382855275</v>
      </c>
      <c r="D106">
        <f t="shared" si="4"/>
        <v>33.545066171447274</v>
      </c>
      <c r="E106">
        <f t="shared" si="5"/>
        <v>0.23680880844936755</v>
      </c>
      <c r="G106" s="7">
        <v>1989.6666666666665</v>
      </c>
      <c r="H106">
        <v>1.0425552674387946</v>
      </c>
      <c r="I106" cm="1">
        <f t="array" ref="I106">TREND($H$2:$H$421, $A$2:$A$421, A106)</f>
        <v>1.022067462939888</v>
      </c>
      <c r="J106">
        <f t="shared" si="6"/>
        <v>2.0487804498906526E-2</v>
      </c>
      <c r="K106">
        <f t="shared" si="7"/>
        <v>0.74919537185697382</v>
      </c>
    </row>
    <row r="107" spans="1:11" x14ac:dyDescent="0.35">
      <c r="A107" s="1">
        <v>1989.75000000106</v>
      </c>
      <c r="B107">
        <v>453.6</v>
      </c>
      <c r="C107" cm="1">
        <f t="array" ref="C107">TREND($B$2:$B$421, $A$2:$A$421, A107)</f>
        <v>323.42476857899419</v>
      </c>
      <c r="D107">
        <f t="shared" si="4"/>
        <v>130.17523142100583</v>
      </c>
      <c r="E107">
        <f t="shared" si="5"/>
        <v>0.91896201023651169</v>
      </c>
      <c r="G107" s="7">
        <v>1989.75</v>
      </c>
      <c r="H107">
        <v>1.050779740044135</v>
      </c>
      <c r="I107" cm="1">
        <f t="array" ref="I107">TREND($H$2:$H$421, $A$2:$A$421, A107)</f>
        <v>1.0219584882306019</v>
      </c>
      <c r="J107">
        <f t="shared" si="6"/>
        <v>2.8821251813533122E-2</v>
      </c>
      <c r="K107">
        <f t="shared" si="7"/>
        <v>1.0539317900547118</v>
      </c>
    </row>
    <row r="108" spans="1:11" x14ac:dyDescent="0.35">
      <c r="A108" s="1">
        <v>1989.8333333343901</v>
      </c>
      <c r="B108">
        <v>529.4</v>
      </c>
      <c r="C108" cm="1">
        <f t="array" ref="C108">TREND($B$2:$B$421, $A$2:$A$421, A108)</f>
        <v>323.79460332943381</v>
      </c>
      <c r="D108">
        <f t="shared" si="4"/>
        <v>205.60539667056617</v>
      </c>
      <c r="E108">
        <f t="shared" si="5"/>
        <v>1.4514554464573095</v>
      </c>
      <c r="G108" s="7">
        <v>1989.8333333333333</v>
      </c>
      <c r="H108">
        <v>1.0645111067514599</v>
      </c>
      <c r="I108" cm="1">
        <f t="array" ref="I108">TREND($H$2:$H$421, $A$2:$A$421, A108)</f>
        <v>1.0218495135213157</v>
      </c>
      <c r="J108">
        <f t="shared" si="6"/>
        <v>4.2661593230144179E-2</v>
      </c>
      <c r="K108">
        <f t="shared" si="7"/>
        <v>1.5600435959731542</v>
      </c>
    </row>
    <row r="109" spans="1:11" x14ac:dyDescent="0.35">
      <c r="A109" s="1">
        <v>1989.9166666677199</v>
      </c>
      <c r="B109">
        <v>522.4</v>
      </c>
      <c r="C109" cm="1">
        <f t="array" ref="C109">TREND($B$2:$B$421, $A$2:$A$421, A109)</f>
        <v>324.16443807987343</v>
      </c>
      <c r="D109">
        <f t="shared" si="4"/>
        <v>198.23556192012654</v>
      </c>
      <c r="E109">
        <f t="shared" si="5"/>
        <v>1.3994286662208191</v>
      </c>
      <c r="G109" s="7">
        <v>1989.9166666666665</v>
      </c>
      <c r="H109">
        <v>1.0829906049720335</v>
      </c>
      <c r="I109" cm="1">
        <f t="array" ref="I109">TREND($H$2:$H$421, $A$2:$A$421, A109)</f>
        <v>1.0217405388120295</v>
      </c>
      <c r="J109">
        <f t="shared" si="6"/>
        <v>6.1250066160003946E-2</v>
      </c>
      <c r="K109">
        <f t="shared" si="7"/>
        <v>2.2397844578933803</v>
      </c>
    </row>
    <row r="110" spans="1:11" x14ac:dyDescent="0.35">
      <c r="A110" s="1">
        <v>1990.00000000105</v>
      </c>
      <c r="B110">
        <v>330.1</v>
      </c>
      <c r="C110" cm="1">
        <f t="array" ref="C110">TREND($B$2:$B$421, $A$2:$A$421, A110)</f>
        <v>324.53427283031488</v>
      </c>
      <c r="D110">
        <f t="shared" si="4"/>
        <v>5.5657271696851467</v>
      </c>
      <c r="E110">
        <f t="shared" si="5"/>
        <v>3.9290821859490073E-2</v>
      </c>
      <c r="G110" s="7">
        <v>1990</v>
      </c>
      <c r="H110">
        <v>1.0697876319380384</v>
      </c>
      <c r="I110" cm="1">
        <f t="array" ref="I110">TREND($H$2:$H$421, $A$2:$A$421, A110)</f>
        <v>1.0216315641027434</v>
      </c>
      <c r="J110">
        <f t="shared" si="6"/>
        <v>4.8156067835295024E-2</v>
      </c>
      <c r="K110">
        <f t="shared" si="7"/>
        <v>1.7609648291479658</v>
      </c>
    </row>
    <row r="111" spans="1:11" x14ac:dyDescent="0.35">
      <c r="A111" s="1">
        <v>1990.0833333343801</v>
      </c>
      <c r="B111">
        <v>208.9</v>
      </c>
      <c r="C111" cm="1">
        <f t="array" ref="C111">TREND($B$2:$B$421, $A$2:$A$421, A111)</f>
        <v>324.9041075807545</v>
      </c>
      <c r="D111">
        <f t="shared" si="4"/>
        <v>-116.00410758075449</v>
      </c>
      <c r="E111">
        <f t="shared" si="5"/>
        <v>-0.8189220540221982</v>
      </c>
      <c r="G111" s="7">
        <v>1990.0833333333333</v>
      </c>
      <c r="H111">
        <v>1.0283694972762156</v>
      </c>
      <c r="I111" cm="1">
        <f t="array" ref="I111">TREND($H$2:$H$421, $A$2:$A$421, A111)</f>
        <v>1.0215225893934567</v>
      </c>
      <c r="J111">
        <f t="shared" si="6"/>
        <v>6.8469078827588792E-3</v>
      </c>
      <c r="K111">
        <f t="shared" si="7"/>
        <v>0.25037683747751471</v>
      </c>
    </row>
    <row r="112" spans="1:11" x14ac:dyDescent="0.35">
      <c r="A112" s="1">
        <v>1990.1666666677099</v>
      </c>
      <c r="B112">
        <v>184.1</v>
      </c>
      <c r="C112" cm="1">
        <f t="array" ref="C112">TREND($B$2:$B$421, $A$2:$A$421, A112)</f>
        <v>325.27394233119412</v>
      </c>
      <c r="D112">
        <f t="shared" si="4"/>
        <v>-141.17394233119413</v>
      </c>
      <c r="E112">
        <f t="shared" si="5"/>
        <v>-0.99660656195119768</v>
      </c>
      <c r="G112" s="7">
        <v>1990.1666666666665</v>
      </c>
      <c r="H112">
        <v>1.0067195735022505</v>
      </c>
      <c r="I112" cm="1">
        <f t="array" ref="I112">TREND($H$2:$H$421, $A$2:$A$421, A112)</f>
        <v>1.021413614684171</v>
      </c>
      <c r="J112">
        <f t="shared" si="6"/>
        <v>-1.4694041181920525E-2</v>
      </c>
      <c r="K112">
        <f t="shared" si="7"/>
        <v>-0.53732978797013753</v>
      </c>
    </row>
    <row r="113" spans="1:11" x14ac:dyDescent="0.35">
      <c r="A113" s="1">
        <v>1990.25000000104</v>
      </c>
      <c r="B113">
        <v>204.3</v>
      </c>
      <c r="C113" cm="1">
        <f t="array" ref="C113">TREND($B$2:$B$421, $A$2:$A$421, A113)</f>
        <v>325.64377708163556</v>
      </c>
      <c r="D113">
        <f t="shared" si="4"/>
        <v>-121.34377708163555</v>
      </c>
      <c r="E113">
        <f t="shared" si="5"/>
        <v>-0.8566170391969008</v>
      </c>
      <c r="G113" s="7">
        <v>1990.25</v>
      </c>
      <c r="H113">
        <v>1.0055265161149722</v>
      </c>
      <c r="I113" cm="1">
        <f t="array" ref="I113">TREND($H$2:$H$421, $A$2:$A$421, A113)</f>
        <v>1.0213046399748849</v>
      </c>
      <c r="J113">
        <f t="shared" si="6"/>
        <v>-1.5778123859912618E-2</v>
      </c>
      <c r="K113">
        <f t="shared" si="7"/>
        <v>-0.57697238242701798</v>
      </c>
    </row>
    <row r="114" spans="1:11" x14ac:dyDescent="0.35">
      <c r="A114" s="1">
        <v>1990.3333333343701</v>
      </c>
      <c r="B114">
        <v>306.89999999999998</v>
      </c>
      <c r="C114" cm="1">
        <f t="array" ref="C114">TREND($B$2:$B$421, $A$2:$A$421, A114)</f>
        <v>326.01361183207518</v>
      </c>
      <c r="D114">
        <f t="shared" si="4"/>
        <v>-19.113611832075208</v>
      </c>
      <c r="E114">
        <f t="shared" si="5"/>
        <v>-0.13493106914693226</v>
      </c>
      <c r="G114" s="7">
        <v>1990.3333333333333</v>
      </c>
      <c r="H114">
        <v>1.0120193361488738</v>
      </c>
      <c r="I114" cm="1">
        <f t="array" ref="I114">TREND($H$2:$H$421, $A$2:$A$421, A114)</f>
        <v>1.0211956652655982</v>
      </c>
      <c r="J114">
        <f t="shared" si="6"/>
        <v>-9.176329116724391E-3</v>
      </c>
      <c r="K114">
        <f t="shared" si="7"/>
        <v>-0.33555881037685614</v>
      </c>
    </row>
    <row r="115" spans="1:11" x14ac:dyDescent="0.35">
      <c r="A115" s="1">
        <v>1990.4166666676999</v>
      </c>
      <c r="B115">
        <v>335.2</v>
      </c>
      <c r="C115" cm="1">
        <f t="array" ref="C115">TREND($B$2:$B$421, $A$2:$A$421, A115)</f>
        <v>326.38344658251481</v>
      </c>
      <c r="D115">
        <f t="shared" si="4"/>
        <v>8.8165534174851814</v>
      </c>
      <c r="E115">
        <f t="shared" si="5"/>
        <v>6.2239779130373062E-2</v>
      </c>
      <c r="G115" s="7">
        <v>1990.4166666666665</v>
      </c>
      <c r="H115">
        <v>1.0152885388998178</v>
      </c>
      <c r="I115" cm="1">
        <f t="array" ref="I115">TREND($H$2:$H$421, $A$2:$A$421, A115)</f>
        <v>1.0210866905563125</v>
      </c>
      <c r="J115">
        <f t="shared" si="6"/>
        <v>-5.7981516564946656E-3</v>
      </c>
      <c r="K115">
        <f t="shared" si="7"/>
        <v>-0.21202605611561853</v>
      </c>
    </row>
    <row r="116" spans="1:11" x14ac:dyDescent="0.35">
      <c r="A116" s="1">
        <v>1990.50000000103</v>
      </c>
      <c r="B116">
        <v>325.10000000000002</v>
      </c>
      <c r="C116" cm="1">
        <f t="array" ref="C116">TREND($B$2:$B$421, $A$2:$A$421, A116)</f>
        <v>326.75328133295625</v>
      </c>
      <c r="D116">
        <f t="shared" si="4"/>
        <v>-1.6532813329562259</v>
      </c>
      <c r="E116">
        <f t="shared" si="5"/>
        <v>-1.1671212108758024E-2</v>
      </c>
      <c r="G116" s="7">
        <v>1990.5</v>
      </c>
      <c r="H116">
        <v>1.0301902843167645</v>
      </c>
      <c r="I116" cm="1">
        <f t="array" ref="I116">TREND($H$2:$H$421, $A$2:$A$421, A116)</f>
        <v>1.0209777158470259</v>
      </c>
      <c r="J116">
        <f t="shared" si="6"/>
        <v>9.2125684697386134E-3</v>
      </c>
      <c r="K116">
        <f t="shared" si="7"/>
        <v>0.33688400632736842</v>
      </c>
    </row>
    <row r="117" spans="1:11" x14ac:dyDescent="0.35">
      <c r="A117" s="1">
        <v>1990.5833333343601</v>
      </c>
      <c r="B117">
        <v>294.8</v>
      </c>
      <c r="C117" cm="1">
        <f t="array" ref="C117">TREND($B$2:$B$421, $A$2:$A$421, A117)</f>
        <v>327.12311608339587</v>
      </c>
      <c r="D117">
        <f t="shared" si="4"/>
        <v>-32.32311608339586</v>
      </c>
      <c r="E117">
        <f t="shared" si="5"/>
        <v>-0.228182546010162</v>
      </c>
      <c r="G117" s="7">
        <v>1990.5833333333333</v>
      </c>
      <c r="H117">
        <v>1.0484890215159164</v>
      </c>
      <c r="I117" cm="1">
        <f t="array" ref="I117">TREND($H$2:$H$421, $A$2:$A$421, A117)</f>
        <v>1.0208687411377397</v>
      </c>
      <c r="J117">
        <f t="shared" si="6"/>
        <v>2.7620280378176654E-2</v>
      </c>
      <c r="K117">
        <f t="shared" si="7"/>
        <v>1.0100148227120407</v>
      </c>
    </row>
    <row r="118" spans="1:11" x14ac:dyDescent="0.35">
      <c r="A118" s="1">
        <v>1990.6666666676899</v>
      </c>
      <c r="B118">
        <v>304.10000000000002</v>
      </c>
      <c r="C118" cm="1">
        <f t="array" ref="C118">TREND($B$2:$B$421, $A$2:$A$421, A118)</f>
        <v>327.49295083383549</v>
      </c>
      <c r="D118">
        <f t="shared" si="4"/>
        <v>-23.392950833835471</v>
      </c>
      <c r="E118">
        <f t="shared" si="5"/>
        <v>-0.16514073291025383</v>
      </c>
      <c r="G118" s="7">
        <v>1990.6666666666665</v>
      </c>
      <c r="H118">
        <v>1.0644719091437662</v>
      </c>
      <c r="I118" cm="1">
        <f t="array" ref="I118">TREND($H$2:$H$421, $A$2:$A$421, A118)</f>
        <v>1.020759766428454</v>
      </c>
      <c r="J118">
        <f t="shared" si="6"/>
        <v>4.3712142715312208E-2</v>
      </c>
      <c r="K118">
        <f t="shared" si="7"/>
        <v>1.5984599529935775</v>
      </c>
    </row>
    <row r="119" spans="1:11" x14ac:dyDescent="0.35">
      <c r="A119" s="1">
        <v>1990.75000000102</v>
      </c>
      <c r="B119">
        <v>365.6</v>
      </c>
      <c r="C119" cm="1">
        <f t="array" ref="C119">TREND($B$2:$B$421, $A$2:$A$421, A119)</f>
        <v>327.86278558427693</v>
      </c>
      <c r="D119">
        <f t="shared" si="4"/>
        <v>37.737214415723088</v>
      </c>
      <c r="E119">
        <f t="shared" si="5"/>
        <v>0.2664029557822799</v>
      </c>
      <c r="G119" s="7">
        <v>1990.75</v>
      </c>
      <c r="H119">
        <v>1.069548317666082</v>
      </c>
      <c r="I119" cm="1">
        <f t="array" ref="I119">TREND($H$2:$H$421, $A$2:$A$421, A119)</f>
        <v>1.0206507917191674</v>
      </c>
      <c r="J119">
        <f t="shared" si="6"/>
        <v>4.8897525946914655E-2</v>
      </c>
      <c r="K119">
        <f t="shared" si="7"/>
        <v>1.7880783729969858</v>
      </c>
    </row>
    <row r="120" spans="1:11" x14ac:dyDescent="0.35">
      <c r="A120" s="1">
        <v>1990.8333333343501</v>
      </c>
      <c r="B120">
        <v>455.1</v>
      </c>
      <c r="C120" cm="1">
        <f t="array" ref="C120">TREND($B$2:$B$421, $A$2:$A$421, A120)</f>
        <v>328.23262033471656</v>
      </c>
      <c r="D120">
        <f t="shared" si="4"/>
        <v>126.86737966528347</v>
      </c>
      <c r="E120">
        <f t="shared" si="5"/>
        <v>0.89561048578888536</v>
      </c>
      <c r="G120" s="7">
        <v>1990.8333333333333</v>
      </c>
      <c r="H120">
        <v>1.0624138995599013</v>
      </c>
      <c r="I120" cm="1">
        <f t="array" ref="I120">TREND($H$2:$H$421, $A$2:$A$421, A120)</f>
        <v>1.0205418170098812</v>
      </c>
      <c r="J120">
        <f t="shared" si="6"/>
        <v>4.1872082550020062E-2</v>
      </c>
      <c r="K120">
        <f t="shared" si="7"/>
        <v>1.5311728720450621</v>
      </c>
    </row>
    <row r="121" spans="1:11" x14ac:dyDescent="0.35">
      <c r="A121" s="1">
        <v>1990.9166666676799</v>
      </c>
      <c r="B121">
        <v>479.1</v>
      </c>
      <c r="C121" cm="1">
        <f t="array" ref="C121">TREND($B$2:$B$421, $A$2:$A$421, A121)</f>
        <v>328.60245508515618</v>
      </c>
      <c r="D121">
        <f t="shared" si="4"/>
        <v>150.49754491484384</v>
      </c>
      <c r="E121">
        <f t="shared" si="5"/>
        <v>1.0624258155786743</v>
      </c>
      <c r="G121" s="7">
        <v>1990.9166666666665</v>
      </c>
      <c r="H121">
        <v>1.06775185770254</v>
      </c>
      <c r="I121" cm="1">
        <f t="array" ref="I121">TREND($H$2:$H$421, $A$2:$A$421, A121)</f>
        <v>1.0204328423005951</v>
      </c>
      <c r="J121">
        <f t="shared" si="6"/>
        <v>4.7319015401944942E-2</v>
      </c>
      <c r="K121">
        <f t="shared" si="7"/>
        <v>1.7303556045675097</v>
      </c>
    </row>
    <row r="122" spans="1:11" x14ac:dyDescent="0.35">
      <c r="A122" s="1">
        <v>1991.00000000101</v>
      </c>
      <c r="B122">
        <v>282.3</v>
      </c>
      <c r="C122" cm="1">
        <f t="array" ref="C122">TREND($B$2:$B$421, $A$2:$A$421, A122)</f>
        <v>328.97228983559762</v>
      </c>
      <c r="D122">
        <f t="shared" si="4"/>
        <v>-46.67228983559761</v>
      </c>
      <c r="E122">
        <f t="shared" si="5"/>
        <v>-0.32947943185098577</v>
      </c>
      <c r="G122" s="7">
        <v>1991</v>
      </c>
      <c r="H122">
        <v>1.0525443032965336</v>
      </c>
      <c r="I122" cm="1">
        <f t="array" ref="I122">TREND($H$2:$H$421, $A$2:$A$421, A122)</f>
        <v>1.0203238675913089</v>
      </c>
      <c r="J122">
        <f t="shared" si="6"/>
        <v>3.2220435705224704E-2</v>
      </c>
      <c r="K122">
        <f t="shared" si="7"/>
        <v>1.1782327047711751</v>
      </c>
    </row>
    <row r="123" spans="1:11" x14ac:dyDescent="0.35">
      <c r="A123" s="1">
        <v>1991.0833333343401</v>
      </c>
      <c r="B123">
        <v>157.6</v>
      </c>
      <c r="C123" cm="1">
        <f t="array" ref="C123">TREND($B$2:$B$421, $A$2:$A$421, A123)</f>
        <v>329.34212458603724</v>
      </c>
      <c r="D123">
        <f t="shared" si="4"/>
        <v>-171.74212458603725</v>
      </c>
      <c r="E123">
        <f t="shared" si="5"/>
        <v>-1.2124002878969313</v>
      </c>
      <c r="G123" s="7">
        <v>1991.0833333333333</v>
      </c>
      <c r="H123">
        <v>1.0218782707341354</v>
      </c>
      <c r="I123" cm="1">
        <f t="array" ref="I123">TREND($H$2:$H$421, $A$2:$A$421, A123)</f>
        <v>1.0202148928820227</v>
      </c>
      <c r="J123">
        <f t="shared" si="6"/>
        <v>1.6633778521126796E-3</v>
      </c>
      <c r="K123">
        <f t="shared" si="7"/>
        <v>6.0826185085790484E-2</v>
      </c>
    </row>
    <row r="124" spans="1:11" x14ac:dyDescent="0.35">
      <c r="A124" s="1">
        <v>1991.1666666676699</v>
      </c>
      <c r="B124">
        <v>157.69999999999999</v>
      </c>
      <c r="C124" cm="1">
        <f t="array" ref="C124">TREND($B$2:$B$421, $A$2:$A$421, A124)</f>
        <v>329.71195933647687</v>
      </c>
      <c r="D124">
        <f t="shared" si="4"/>
        <v>-172.01195933647688</v>
      </c>
      <c r="E124">
        <f t="shared" si="5"/>
        <v>-1.2143051655144999</v>
      </c>
      <c r="G124" s="7">
        <v>1991.1666666666665</v>
      </c>
      <c r="H124">
        <v>1.0009854665319329</v>
      </c>
      <c r="I124" cm="1">
        <f t="array" ref="I124">TREND($H$2:$H$421, $A$2:$A$421, A124)</f>
        <v>1.0201059181727365</v>
      </c>
      <c r="J124">
        <f t="shared" si="6"/>
        <v>-1.9120451640803671E-2</v>
      </c>
      <c r="K124">
        <f t="shared" si="7"/>
        <v>-0.69919419027403518</v>
      </c>
    </row>
    <row r="125" spans="1:11" x14ac:dyDescent="0.35">
      <c r="A125" s="1">
        <v>1991.250000001</v>
      </c>
      <c r="B125">
        <v>171.9</v>
      </c>
      <c r="C125" cm="1">
        <f t="array" ref="C125">TREND($B$2:$B$421, $A$2:$A$421, A125)</f>
        <v>330.08179408691831</v>
      </c>
      <c r="D125">
        <f t="shared" si="4"/>
        <v>-158.1817940869183</v>
      </c>
      <c r="E125">
        <f t="shared" si="5"/>
        <v>-1.1166721801846442</v>
      </c>
      <c r="G125" s="7">
        <v>1991.25</v>
      </c>
      <c r="H125">
        <v>0.99940962123908172</v>
      </c>
      <c r="I125" cm="1">
        <f t="array" ref="I125">TREND($H$2:$H$421, $A$2:$A$421, A125)</f>
        <v>1.0199969434634504</v>
      </c>
      <c r="J125">
        <f t="shared" si="6"/>
        <v>-2.0587322224368654E-2</v>
      </c>
      <c r="K125">
        <f t="shared" si="7"/>
        <v>-0.75283452310612065</v>
      </c>
    </row>
    <row r="126" spans="1:11" x14ac:dyDescent="0.35">
      <c r="A126" s="1">
        <v>1991.3333333343301</v>
      </c>
      <c r="B126">
        <v>232.1</v>
      </c>
      <c r="C126" cm="1">
        <f t="array" ref="C126">TREND($B$2:$B$421, $A$2:$A$421, A126)</f>
        <v>330.45162883735793</v>
      </c>
      <c r="D126">
        <f t="shared" si="4"/>
        <v>-98.351628837357936</v>
      </c>
      <c r="E126">
        <f t="shared" si="5"/>
        <v>-0.69430574126739331</v>
      </c>
      <c r="G126" s="7">
        <v>1991.3333333333333</v>
      </c>
      <c r="H126">
        <v>1.008750460013873</v>
      </c>
      <c r="I126" cm="1">
        <f t="array" ref="I126">TREND($H$2:$H$421, $A$2:$A$421, A126)</f>
        <v>1.0198879687541642</v>
      </c>
      <c r="J126">
        <f t="shared" si="6"/>
        <v>-1.113750874029118E-2</v>
      </c>
      <c r="K126">
        <f t="shared" si="7"/>
        <v>-0.40727497193213086</v>
      </c>
    </row>
    <row r="127" spans="1:11" x14ac:dyDescent="0.35">
      <c r="A127" s="1">
        <v>1991.4166666676599</v>
      </c>
      <c r="B127">
        <v>268.8</v>
      </c>
      <c r="C127" cm="1">
        <f t="array" ref="C127">TREND($B$2:$B$421, $A$2:$A$421, A127)</f>
        <v>330.82146358779755</v>
      </c>
      <c r="D127">
        <f t="shared" si="4"/>
        <v>-62.021463587797541</v>
      </c>
      <c r="E127">
        <f t="shared" si="5"/>
        <v>-0.43783574059587033</v>
      </c>
      <c r="G127" s="7">
        <v>1991.4166666666665</v>
      </c>
      <c r="H127">
        <v>1.0189729153550358</v>
      </c>
      <c r="I127" cm="1">
        <f t="array" ref="I127">TREND($H$2:$H$421, $A$2:$A$421, A127)</f>
        <v>1.019778994044878</v>
      </c>
      <c r="J127">
        <f t="shared" si="6"/>
        <v>-8.0607868984228226E-4</v>
      </c>
      <c r="K127">
        <f t="shared" si="7"/>
        <v>-2.9476580753924498E-2</v>
      </c>
    </row>
    <row r="128" spans="1:11" x14ac:dyDescent="0.35">
      <c r="A128" s="1">
        <v>1991.50000000099</v>
      </c>
      <c r="B128">
        <v>267.10000000000002</v>
      </c>
      <c r="C128" cm="1">
        <f t="array" ref="C128">TREND($B$2:$B$421, $A$2:$A$421, A128)</f>
        <v>331.19129833823899</v>
      </c>
      <c r="D128">
        <f t="shared" si="4"/>
        <v>-64.091298338238971</v>
      </c>
      <c r="E128">
        <f t="shared" si="5"/>
        <v>-0.45244757944078384</v>
      </c>
      <c r="G128" s="7">
        <v>1991.5</v>
      </c>
      <c r="H128">
        <v>1.024972424380391</v>
      </c>
      <c r="I128" cm="1">
        <f t="array" ref="I128">TREND($H$2:$H$421, $A$2:$A$421, A128)</f>
        <v>1.0196700193355919</v>
      </c>
      <c r="J128">
        <f t="shared" si="6"/>
        <v>5.3024050447991744E-3</v>
      </c>
      <c r="K128">
        <f t="shared" si="7"/>
        <v>0.19389765845756898</v>
      </c>
    </row>
    <row r="129" spans="1:11" x14ac:dyDescent="0.35">
      <c r="A129" s="1">
        <v>1991.5833333343201</v>
      </c>
      <c r="B129">
        <v>250.5</v>
      </c>
      <c r="C129" cm="1">
        <f t="array" ref="C129">TREND($B$2:$B$421, $A$2:$A$421, A129)</f>
        <v>331.56113308868044</v>
      </c>
      <c r="D129">
        <f t="shared" si="4"/>
        <v>-81.061133088680435</v>
      </c>
      <c r="E129">
        <f t="shared" si="5"/>
        <v>-0.57224481955639328</v>
      </c>
      <c r="G129" s="7">
        <v>1991.5833333333333</v>
      </c>
      <c r="H129">
        <v>1.0286130449571018</v>
      </c>
      <c r="I129" cm="1">
        <f t="array" ref="I129">TREND($H$2:$H$421, $A$2:$A$421, A129)</f>
        <v>1.0195610446263057</v>
      </c>
      <c r="J129">
        <f t="shared" si="6"/>
        <v>9.0520003307961172E-3</v>
      </c>
      <c r="K129">
        <f t="shared" si="7"/>
        <v>0.3310123714935907</v>
      </c>
    </row>
    <row r="130" spans="1:11" x14ac:dyDescent="0.35">
      <c r="A130" s="1">
        <v>1991.6666666676499</v>
      </c>
      <c r="B130">
        <v>212.1</v>
      </c>
      <c r="C130" cm="1">
        <f t="array" ref="C130">TREND($B$2:$B$421, $A$2:$A$421, A130)</f>
        <v>331.93096783911824</v>
      </c>
      <c r="D130">
        <f t="shared" si="4"/>
        <v>-119.83096783911824</v>
      </c>
      <c r="E130">
        <f t="shared" si="5"/>
        <v>-0.84593747898077998</v>
      </c>
      <c r="G130" s="7">
        <v>1991.6666666666665</v>
      </c>
      <c r="H130">
        <v>1.0328881594037067</v>
      </c>
      <c r="I130" cm="1">
        <f t="array" ref="I130">TREND($H$2:$H$421, $A$2:$A$421, A130)</f>
        <v>1.0194520699170195</v>
      </c>
      <c r="J130">
        <f t="shared" si="6"/>
        <v>1.3436089486687175E-2</v>
      </c>
      <c r="K130">
        <f t="shared" si="7"/>
        <v>0.49132917389070863</v>
      </c>
    </row>
    <row r="131" spans="1:11" x14ac:dyDescent="0.35">
      <c r="A131" s="1">
        <v>1991.75000000098</v>
      </c>
      <c r="B131">
        <v>290.89999999999998</v>
      </c>
      <c r="C131" cm="1">
        <f t="array" ref="C131">TREND($B$2:$B$421, $A$2:$A$421, A131)</f>
        <v>332.30080258955968</v>
      </c>
      <c r="D131">
        <f t="shared" ref="D131:D194" si="8">B131 - C131</f>
        <v>-41.400802589559703</v>
      </c>
      <c r="E131">
        <f t="shared" ref="E131:E194" si="9">(D131 - AVERAGE($D$2:$D$421)) / _xlfn.STDEV.S($D$2:$D$421)</f>
        <v>-0.29226577404777426</v>
      </c>
      <c r="G131" s="7">
        <v>1991.75</v>
      </c>
      <c r="H131">
        <v>1.0328938389274047</v>
      </c>
      <c r="I131" cm="1">
        <f t="array" ref="I131">TREND($H$2:$H$421, $A$2:$A$421, A131)</f>
        <v>1.0193430952077334</v>
      </c>
      <c r="J131">
        <f t="shared" ref="J131:J194" si="10">H131 - I131</f>
        <v>1.3550743719671354E-2</v>
      </c>
      <c r="K131">
        <f t="shared" ref="K131:K194" si="11">(J131 - AVERAGE($J$2:$J$421)) / _xlfn.STDEV.S($J$2:$J$421)</f>
        <v>0.4955218349794136</v>
      </c>
    </row>
    <row r="132" spans="1:11" x14ac:dyDescent="0.35">
      <c r="A132" s="1">
        <v>1991.8333333343101</v>
      </c>
      <c r="B132">
        <v>311.39999999999998</v>
      </c>
      <c r="C132" cm="1">
        <f t="array" ref="C132">TREND($B$2:$B$421, $A$2:$A$421, A132)</f>
        <v>332.67063734000112</v>
      </c>
      <c r="D132">
        <f t="shared" si="8"/>
        <v>-21.270637340001144</v>
      </c>
      <c r="E132">
        <f t="shared" si="9"/>
        <v>-0.15015842442225547</v>
      </c>
      <c r="G132" s="7">
        <v>1991.8333333333333</v>
      </c>
      <c r="H132">
        <v>1.034394921621629</v>
      </c>
      <c r="I132" cm="1">
        <f t="array" ref="I132">TREND($H$2:$H$421, $A$2:$A$421, A132)</f>
        <v>1.0192341204984467</v>
      </c>
      <c r="J132">
        <f t="shared" si="10"/>
        <v>1.5160801123182299E-2</v>
      </c>
      <c r="K132">
        <f t="shared" si="11"/>
        <v>0.55439820483148128</v>
      </c>
    </row>
    <row r="133" spans="1:11" x14ac:dyDescent="0.35">
      <c r="A133" s="1">
        <v>1991.9166666676399</v>
      </c>
      <c r="B133">
        <v>311.2</v>
      </c>
      <c r="C133" cm="1">
        <f t="array" ref="C133">TREND($B$2:$B$421, $A$2:$A$421, A133)</f>
        <v>333.04047209044074</v>
      </c>
      <c r="D133">
        <f t="shared" si="8"/>
        <v>-21.840472090440755</v>
      </c>
      <c r="E133">
        <f t="shared" si="9"/>
        <v>-0.15418112891104588</v>
      </c>
      <c r="G133" s="7">
        <v>1991.9166666666665</v>
      </c>
      <c r="H133">
        <v>1.0383575612222586</v>
      </c>
      <c r="I133" cm="1">
        <f t="array" ref="I133">TREND($H$2:$H$421, $A$2:$A$421, A133)</f>
        <v>1.019125145789161</v>
      </c>
      <c r="J133">
        <f t="shared" si="10"/>
        <v>1.9232415433097616E-2</v>
      </c>
      <c r="K133">
        <f t="shared" si="11"/>
        <v>0.70328846767726538</v>
      </c>
    </row>
    <row r="134" spans="1:11" x14ac:dyDescent="0.35">
      <c r="A134" s="1">
        <v>1992.00000000097</v>
      </c>
      <c r="B134">
        <v>238.2</v>
      </c>
      <c r="C134" cm="1">
        <f t="array" ref="C134">TREND($B$2:$B$421, $A$2:$A$421, A134)</f>
        <v>333.41030684088037</v>
      </c>
      <c r="D134">
        <f t="shared" si="8"/>
        <v>-95.210306840880378</v>
      </c>
      <c r="E134">
        <f t="shared" si="9"/>
        <v>-0.67212982081638961</v>
      </c>
      <c r="G134" s="7">
        <v>1992</v>
      </c>
      <c r="H134">
        <v>1.0268108308827097</v>
      </c>
      <c r="I134" cm="1">
        <f t="array" ref="I134">TREND($H$2:$H$421, $A$2:$A$421, A134)</f>
        <v>1.0190161710798749</v>
      </c>
      <c r="J134">
        <f t="shared" si="10"/>
        <v>7.7946598028348912E-3</v>
      </c>
      <c r="K134">
        <f t="shared" si="11"/>
        <v>0.28503410649955258</v>
      </c>
    </row>
    <row r="135" spans="1:11" x14ac:dyDescent="0.35">
      <c r="A135" s="1">
        <v>1992.0833333343001</v>
      </c>
      <c r="B135">
        <v>140.1</v>
      </c>
      <c r="C135" cm="1">
        <f t="array" ref="C135">TREND($B$2:$B$421, $A$2:$A$421, A135)</f>
        <v>333.78014159132181</v>
      </c>
      <c r="D135">
        <f t="shared" si="8"/>
        <v>-193.68014159132181</v>
      </c>
      <c r="E135">
        <f t="shared" si="9"/>
        <v>-1.367270027613992</v>
      </c>
      <c r="G135" s="7">
        <v>1992.0833333333333</v>
      </c>
      <c r="H135">
        <v>0.99592286998675639</v>
      </c>
      <c r="I135" cm="1">
        <f t="array" ref="I135">TREND($H$2:$H$421, $A$2:$A$421, A135)</f>
        <v>1.0189071963705882</v>
      </c>
      <c r="J135">
        <f t="shared" si="10"/>
        <v>-2.2984326383831855E-2</v>
      </c>
      <c r="K135">
        <f t="shared" si="11"/>
        <v>-0.84048785964042916</v>
      </c>
    </row>
    <row r="136" spans="1:11" x14ac:dyDescent="0.35">
      <c r="A136" s="1">
        <v>1992.1666666676299</v>
      </c>
      <c r="B136">
        <v>128.9</v>
      </c>
      <c r="C136" cm="1">
        <f t="array" ref="C136">TREND($B$2:$B$421, $A$2:$A$421, A136)</f>
        <v>334.14997634176143</v>
      </c>
      <c r="D136">
        <f t="shared" si="8"/>
        <v>-205.24997634176142</v>
      </c>
      <c r="E136">
        <f t="shared" si="9"/>
        <v>-1.4489463840475911</v>
      </c>
      <c r="G136" s="7">
        <v>1992.1666666666665</v>
      </c>
      <c r="H136">
        <v>0.98669795432883145</v>
      </c>
      <c r="I136" cm="1">
        <f t="array" ref="I136">TREND($H$2:$H$421, $A$2:$A$421, A136)</f>
        <v>1.0187982216613025</v>
      </c>
      <c r="J136">
        <f t="shared" si="10"/>
        <v>-3.2100267332471066E-2</v>
      </c>
      <c r="K136">
        <f t="shared" si="11"/>
        <v>-1.173838403336148</v>
      </c>
    </row>
    <row r="137" spans="1:11" x14ac:dyDescent="0.35">
      <c r="A137" s="1">
        <v>1992.25000000096</v>
      </c>
      <c r="B137">
        <v>130.30000000000001</v>
      </c>
      <c r="C137" cm="1">
        <f t="array" ref="C137">TREND($B$2:$B$421, $A$2:$A$421, A137)</f>
        <v>334.51981109220105</v>
      </c>
      <c r="D137">
        <f t="shared" si="8"/>
        <v>-204.21981109220104</v>
      </c>
      <c r="E137">
        <f t="shared" si="9"/>
        <v>-1.4416740118898641</v>
      </c>
      <c r="G137" s="7">
        <v>1992.25</v>
      </c>
      <c r="H137">
        <v>0.98509346905505046</v>
      </c>
      <c r="I137" cm="1">
        <f t="array" ref="I137">TREND($H$2:$H$421, $A$2:$A$421, A137)</f>
        <v>1.0186892469520159</v>
      </c>
      <c r="J137">
        <f t="shared" si="10"/>
        <v>-3.359577789696544E-2</v>
      </c>
      <c r="K137">
        <f t="shared" si="11"/>
        <v>-1.2285260392681587</v>
      </c>
    </row>
    <row r="138" spans="1:11" x14ac:dyDescent="0.35">
      <c r="A138" s="1">
        <v>1992.33333333429</v>
      </c>
      <c r="B138">
        <v>199.3</v>
      </c>
      <c r="C138" cm="1">
        <f t="array" ref="C138">TREND($B$2:$B$421, $A$2:$A$421, A138)</f>
        <v>334.88964584264249</v>
      </c>
      <c r="D138">
        <f t="shared" si="8"/>
        <v>-135.58964584264248</v>
      </c>
      <c r="E138">
        <f t="shared" si="9"/>
        <v>-0.95718465141677878</v>
      </c>
      <c r="G138" s="7">
        <v>1992.3333333333333</v>
      </c>
      <c r="H138">
        <v>0.98845985399426062</v>
      </c>
      <c r="I138" cm="1">
        <f t="array" ref="I138">TREND($H$2:$H$421, $A$2:$A$421, A138)</f>
        <v>1.0185802722427297</v>
      </c>
      <c r="J138">
        <f t="shared" si="10"/>
        <v>-3.0120418248469116E-2</v>
      </c>
      <c r="K138">
        <f t="shared" si="11"/>
        <v>-1.101439539378386</v>
      </c>
    </row>
    <row r="139" spans="1:11" x14ac:dyDescent="0.35">
      <c r="A139" s="1">
        <v>1992.4166666676199</v>
      </c>
      <c r="B139">
        <v>263.10000000000002</v>
      </c>
      <c r="C139" cm="1">
        <f t="array" ref="C139">TREND($B$2:$B$421, $A$2:$A$421, A139)</f>
        <v>335.25948059308212</v>
      </c>
      <c r="D139">
        <f t="shared" si="8"/>
        <v>-72.159480593082094</v>
      </c>
      <c r="E139">
        <f t="shared" si="9"/>
        <v>-0.5094042900448631</v>
      </c>
      <c r="G139" s="7">
        <v>1992.4166666666665</v>
      </c>
      <c r="H139">
        <v>0.99675352235444292</v>
      </c>
      <c r="I139" cm="1">
        <f t="array" ref="I139">TREND($H$2:$H$421, $A$2:$A$421, A139)</f>
        <v>1.018471297533444</v>
      </c>
      <c r="J139">
        <f t="shared" si="10"/>
        <v>-2.1717775179001086E-2</v>
      </c>
      <c r="K139">
        <f t="shared" si="11"/>
        <v>-0.79417277981185386</v>
      </c>
    </row>
    <row r="140" spans="1:11" x14ac:dyDescent="0.35">
      <c r="A140" s="1">
        <v>1992.50000000095</v>
      </c>
      <c r="B140">
        <v>224.9</v>
      </c>
      <c r="C140" cm="1">
        <f t="array" ref="C140">TREND($B$2:$B$421, $A$2:$A$421, A140)</f>
        <v>335.62931534352174</v>
      </c>
      <c r="D140">
        <f t="shared" si="8"/>
        <v>-110.72931534352173</v>
      </c>
      <c r="E140">
        <f t="shared" si="9"/>
        <v>-0.78168506488844791</v>
      </c>
      <c r="G140" s="7">
        <v>1992.5</v>
      </c>
      <c r="H140">
        <v>1.0074305377391419</v>
      </c>
      <c r="I140" cm="1">
        <f t="array" ref="I140">TREND($H$2:$H$421, $A$2:$A$421, A140)</f>
        <v>1.0183623228241574</v>
      </c>
      <c r="J140">
        <f t="shared" si="10"/>
        <v>-1.0931785085015466E-2</v>
      </c>
      <c r="K140">
        <f t="shared" si="11"/>
        <v>-0.39975209604651352</v>
      </c>
    </row>
    <row r="141" spans="1:11" x14ac:dyDescent="0.35">
      <c r="A141" s="1">
        <v>1992.58333333428</v>
      </c>
      <c r="B141">
        <v>272.89999999999998</v>
      </c>
      <c r="C141" cm="1">
        <f t="array" ref="C141">TREND($B$2:$B$421, $A$2:$A$421, A141)</f>
        <v>335.99915009396318</v>
      </c>
      <c r="D141">
        <f t="shared" si="8"/>
        <v>-63.099150093963203</v>
      </c>
      <c r="E141">
        <f t="shared" si="9"/>
        <v>-0.44544358540090717</v>
      </c>
      <c r="G141" s="7">
        <v>1992.5833333333333</v>
      </c>
      <c r="H141">
        <v>1.0172132330163424</v>
      </c>
      <c r="I141" cm="1">
        <f t="array" ref="I141">TREND($H$2:$H$421, $A$2:$A$421, A141)</f>
        <v>1.0182533481148712</v>
      </c>
      <c r="J141">
        <f t="shared" si="10"/>
        <v>-1.0401150985288599E-3</v>
      </c>
      <c r="K141">
        <f t="shared" si="11"/>
        <v>-3.8034793726103744E-2</v>
      </c>
    </row>
    <row r="142" spans="1:11" x14ac:dyDescent="0.35">
      <c r="A142" s="1">
        <v>1992.6666666676099</v>
      </c>
      <c r="B142">
        <v>304.7</v>
      </c>
      <c r="C142" cm="1">
        <f t="array" ref="C142">TREND($B$2:$B$421, $A$2:$A$421, A142)</f>
        <v>336.3689848444028</v>
      </c>
      <c r="D142">
        <f t="shared" si="8"/>
        <v>-31.668984844402814</v>
      </c>
      <c r="E142">
        <f t="shared" si="9"/>
        <v>-0.2235647569593445</v>
      </c>
      <c r="G142" s="7">
        <v>1992.6666666666665</v>
      </c>
      <c r="H142">
        <v>1.0208566506469388</v>
      </c>
      <c r="I142" cm="1">
        <f t="array" ref="I142">TREND($H$2:$H$421, $A$2:$A$421, A142)</f>
        <v>1.0181443734055851</v>
      </c>
      <c r="J142">
        <f t="shared" si="10"/>
        <v>2.7122772413537E-3</v>
      </c>
      <c r="K142">
        <f t="shared" si="11"/>
        <v>9.9182201612838736E-2</v>
      </c>
    </row>
    <row r="143" spans="1:11" x14ac:dyDescent="0.35">
      <c r="A143" s="1">
        <v>1992.75000000094</v>
      </c>
      <c r="B143">
        <v>385</v>
      </c>
      <c r="C143" cm="1">
        <f t="array" ref="C143">TREND($B$2:$B$421, $A$2:$A$421, A143)</f>
        <v>336.73881959484243</v>
      </c>
      <c r="D143">
        <f t="shared" si="8"/>
        <v>48.261180405157575</v>
      </c>
      <c r="E143">
        <f t="shared" si="9"/>
        <v>0.3406960823297846</v>
      </c>
      <c r="G143" s="7">
        <v>1992.75</v>
      </c>
      <c r="H143">
        <v>1.0245827482738437</v>
      </c>
      <c r="I143" cm="1">
        <f t="array" ref="I143">TREND($H$2:$H$421, $A$2:$A$421, A143)</f>
        <v>1.0180353986962989</v>
      </c>
      <c r="J143">
        <f t="shared" si="10"/>
        <v>6.5473495775447699E-3</v>
      </c>
      <c r="K143">
        <f t="shared" si="11"/>
        <v>0.23942262830982616</v>
      </c>
    </row>
    <row r="144" spans="1:11" x14ac:dyDescent="0.35">
      <c r="A144" s="1">
        <v>1992.83333333427</v>
      </c>
      <c r="B144">
        <v>350.6</v>
      </c>
      <c r="C144" cm="1">
        <f t="array" ref="C144">TREND($B$2:$B$421, $A$2:$A$421, A144)</f>
        <v>337.10865434528387</v>
      </c>
      <c r="D144">
        <f t="shared" si="8"/>
        <v>13.491345654716156</v>
      </c>
      <c r="E144">
        <f t="shared" si="9"/>
        <v>9.5241114521666559E-2</v>
      </c>
      <c r="G144" s="7">
        <v>1992.8333333333333</v>
      </c>
      <c r="H144">
        <v>1.0327961693919021</v>
      </c>
      <c r="I144" cm="1">
        <f t="array" ref="I144">TREND($H$2:$H$421, $A$2:$A$421, A144)</f>
        <v>1.0179264239870127</v>
      </c>
      <c r="J144">
        <f t="shared" si="10"/>
        <v>1.486974540488939E-2</v>
      </c>
      <c r="K144">
        <f t="shared" si="11"/>
        <v>0.54375491715713831</v>
      </c>
    </row>
    <row r="145" spans="1:11" x14ac:dyDescent="0.35">
      <c r="A145" s="1">
        <v>1992.9166666676001</v>
      </c>
      <c r="B145">
        <v>348.1</v>
      </c>
      <c r="C145" cm="1">
        <f t="array" ref="C145">TREND($B$2:$B$421, $A$2:$A$421, A145)</f>
        <v>337.47848909572349</v>
      </c>
      <c r="D145">
        <f t="shared" si="8"/>
        <v>10.621510904276533</v>
      </c>
      <c r="E145">
        <f t="shared" si="9"/>
        <v>7.4981737353506939E-2</v>
      </c>
      <c r="G145" s="7">
        <v>1992.9166666666665</v>
      </c>
      <c r="H145">
        <v>1.0376559113982831</v>
      </c>
      <c r="I145" cm="1">
        <f t="array" ref="I145">TREND($H$2:$H$421, $A$2:$A$421, A145)</f>
        <v>1.0178174492777265</v>
      </c>
      <c r="J145">
        <f t="shared" si="10"/>
        <v>1.983846212055651E-2</v>
      </c>
      <c r="K145">
        <f t="shared" si="11"/>
        <v>0.72545030416871059</v>
      </c>
    </row>
    <row r="146" spans="1:11" x14ac:dyDescent="0.35">
      <c r="A146" s="1">
        <v>1993.00000000093</v>
      </c>
      <c r="B146">
        <v>252.6</v>
      </c>
      <c r="C146" cm="1">
        <f t="array" ref="C146">TREND($B$2:$B$421, $A$2:$A$421, A146)</f>
        <v>337.84832384616311</v>
      </c>
      <c r="D146">
        <f t="shared" si="8"/>
        <v>-85.248323846163117</v>
      </c>
      <c r="E146">
        <f t="shared" si="9"/>
        <v>-0.60180396989349161</v>
      </c>
      <c r="G146" s="7">
        <v>1993</v>
      </c>
      <c r="H146">
        <v>1.0268603445518838</v>
      </c>
      <c r="I146" cm="1">
        <f t="array" ref="I146">TREND($H$2:$H$421, $A$2:$A$421, A146)</f>
        <v>1.0177084745684404</v>
      </c>
      <c r="J146">
        <f t="shared" si="10"/>
        <v>9.151869983443417E-3</v>
      </c>
      <c r="K146">
        <f t="shared" si="11"/>
        <v>0.33466439197027548</v>
      </c>
    </row>
    <row r="147" spans="1:11" x14ac:dyDescent="0.35">
      <c r="A147" s="1">
        <v>1993.08333333426</v>
      </c>
      <c r="B147">
        <v>169.5</v>
      </c>
      <c r="C147" cm="1">
        <f t="array" ref="C147">TREND($B$2:$B$421, $A$2:$A$421, A147)</f>
        <v>338.21815859660455</v>
      </c>
      <c r="D147">
        <f t="shared" si="8"/>
        <v>-168.71815859660455</v>
      </c>
      <c r="E147">
        <f t="shared" si="9"/>
        <v>-1.1910528331299908</v>
      </c>
      <c r="G147" s="7">
        <v>1993.0833333333333</v>
      </c>
      <c r="H147">
        <v>1.0058710621104303</v>
      </c>
      <c r="I147" cm="1">
        <f t="array" ref="I147">TREND($H$2:$H$421, $A$2:$A$421, A147)</f>
        <v>1.0175994998591542</v>
      </c>
      <c r="J147">
        <f t="shared" si="10"/>
        <v>-1.1728437748723897E-2</v>
      </c>
      <c r="K147">
        <f t="shared" si="11"/>
        <v>-0.42888398710198272</v>
      </c>
    </row>
    <row r="148" spans="1:11" x14ac:dyDescent="0.35">
      <c r="A148" s="1">
        <v>1993.1666666675901</v>
      </c>
      <c r="B148">
        <v>143.9</v>
      </c>
      <c r="C148" cm="1">
        <f t="array" ref="C148">TREND($B$2:$B$421, $A$2:$A$421, A148)</f>
        <v>338.58799334704418</v>
      </c>
      <c r="D148">
        <f t="shared" si="8"/>
        <v>-194.68799334704417</v>
      </c>
      <c r="E148">
        <f t="shared" si="9"/>
        <v>-1.3743848793822491</v>
      </c>
      <c r="G148" s="7">
        <v>1993.1666666666665</v>
      </c>
      <c r="H148">
        <v>0.99151620943605712</v>
      </c>
      <c r="I148" cm="1">
        <f t="array" ref="I148">TREND($H$2:$H$421, $A$2:$A$421, A148)</f>
        <v>1.0174905251498676</v>
      </c>
      <c r="J148">
        <f t="shared" si="10"/>
        <v>-2.5974315713810481E-2</v>
      </c>
      <c r="K148">
        <f t="shared" si="11"/>
        <v>-0.94982540081236477</v>
      </c>
    </row>
    <row r="149" spans="1:11" x14ac:dyDescent="0.35">
      <c r="A149" s="1">
        <v>1993.25000000092</v>
      </c>
      <c r="B149">
        <v>223.8</v>
      </c>
      <c r="C149" cm="1">
        <f t="array" ref="C149">TREND($B$2:$B$421, $A$2:$A$421, A149)</f>
        <v>338.9578280974838</v>
      </c>
      <c r="D149">
        <f t="shared" si="8"/>
        <v>-115.15782809748379</v>
      </c>
      <c r="E149">
        <f t="shared" si="9"/>
        <v>-0.81294780925474941</v>
      </c>
      <c r="G149" s="7">
        <v>1993.25</v>
      </c>
      <c r="H149">
        <v>0.98891490656413517</v>
      </c>
      <c r="I149" cm="1">
        <f t="array" ref="I149">TREND($H$2:$H$421, $A$2:$A$421, A149)</f>
        <v>1.0173815504405819</v>
      </c>
      <c r="J149">
        <f t="shared" si="10"/>
        <v>-2.8466643876446707E-2</v>
      </c>
      <c r="K149">
        <f t="shared" si="11"/>
        <v>-1.0409645331042383</v>
      </c>
    </row>
    <row r="150" spans="1:11" x14ac:dyDescent="0.35">
      <c r="A150" s="1">
        <v>1993.33333333425</v>
      </c>
      <c r="B150">
        <v>340.4</v>
      </c>
      <c r="C150" cm="1">
        <f t="array" ref="C150">TREND($B$2:$B$421, $A$2:$A$421, A150)</f>
        <v>339.32766284792524</v>
      </c>
      <c r="D150">
        <f t="shared" si="8"/>
        <v>1.0723371520747378</v>
      </c>
      <c r="E150">
        <f t="shared" si="9"/>
        <v>7.570081452235769E-3</v>
      </c>
      <c r="G150" s="7">
        <v>1993.3333333333333</v>
      </c>
      <c r="H150">
        <v>0.99616338047087638</v>
      </c>
      <c r="I150" cm="1">
        <f t="array" ref="I150">TREND($H$2:$H$421, $A$2:$A$421, A150)</f>
        <v>1.0172725757312957</v>
      </c>
      <c r="J150">
        <f t="shared" si="10"/>
        <v>-2.1109195260419322E-2</v>
      </c>
      <c r="K150">
        <f t="shared" si="11"/>
        <v>-0.77191830845398368</v>
      </c>
    </row>
    <row r="151" spans="1:11" x14ac:dyDescent="0.35">
      <c r="A151" s="1">
        <v>1993.4166666675801</v>
      </c>
      <c r="B151">
        <v>397.4</v>
      </c>
      <c r="C151" cm="1">
        <f t="array" ref="C151">TREND($B$2:$B$421, $A$2:$A$421, A151)</f>
        <v>339.69749759836486</v>
      </c>
      <c r="D151">
        <f t="shared" si="8"/>
        <v>57.702502401635115</v>
      </c>
      <c r="E151">
        <f t="shared" si="9"/>
        <v>0.40734636707645139</v>
      </c>
      <c r="G151" s="7">
        <v>1993.4166666666665</v>
      </c>
      <c r="H151">
        <v>1.0051940766769971</v>
      </c>
      <c r="I151" cm="1">
        <f t="array" ref="I151">TREND($H$2:$H$421, $A$2:$A$421, A151)</f>
        <v>1.0171636010220091</v>
      </c>
      <c r="J151">
        <f t="shared" si="10"/>
        <v>-1.1969524345011973E-2</v>
      </c>
      <c r="K151">
        <f t="shared" si="11"/>
        <v>-0.43770001041797152</v>
      </c>
    </row>
    <row r="152" spans="1:11" x14ac:dyDescent="0.35">
      <c r="A152" s="1">
        <v>1993.5000000009099</v>
      </c>
      <c r="B152">
        <v>385.8</v>
      </c>
      <c r="C152" cm="1">
        <f t="array" ref="C152">TREND($B$2:$B$421, $A$2:$A$421, A152)</f>
        <v>340.06733234880448</v>
      </c>
      <c r="D152">
        <f t="shared" si="8"/>
        <v>45.732667651195527</v>
      </c>
      <c r="E152">
        <f t="shared" si="9"/>
        <v>0.32284624148122287</v>
      </c>
      <c r="G152" s="7">
        <v>1993.5</v>
      </c>
      <c r="H152">
        <v>1.0085773765102468</v>
      </c>
      <c r="I152" cm="1">
        <f t="array" ref="I152">TREND($H$2:$H$421, $A$2:$A$421, A152)</f>
        <v>1.0170546263127234</v>
      </c>
      <c r="J152">
        <f t="shared" si="10"/>
        <v>-8.4772498024765497E-3</v>
      </c>
      <c r="K152">
        <f t="shared" si="11"/>
        <v>-0.3099949688816197</v>
      </c>
    </row>
    <row r="153" spans="1:11" x14ac:dyDescent="0.35">
      <c r="A153" s="1">
        <v>1993.58333333424</v>
      </c>
      <c r="B153">
        <v>328.7</v>
      </c>
      <c r="C153" cm="1">
        <f t="array" ref="C153">TREND($B$2:$B$421, $A$2:$A$421, A153)</f>
        <v>340.43716709924593</v>
      </c>
      <c r="D153">
        <f t="shared" si="8"/>
        <v>-11.737167099245937</v>
      </c>
      <c r="E153">
        <f t="shared" si="9"/>
        <v>-8.2857626249364713E-2</v>
      </c>
      <c r="G153" s="7">
        <v>1993.5833333333333</v>
      </c>
      <c r="H153">
        <v>1.0212169847772705</v>
      </c>
      <c r="I153" cm="1">
        <f t="array" ref="I153">TREND($H$2:$H$421, $A$2:$A$421, A153)</f>
        <v>1.0169456516034368</v>
      </c>
      <c r="J153">
        <f t="shared" si="10"/>
        <v>4.271333173833769E-3</v>
      </c>
      <c r="K153">
        <f t="shared" si="11"/>
        <v>0.15619355630155543</v>
      </c>
    </row>
    <row r="154" spans="1:11" x14ac:dyDescent="0.35">
      <c r="A154" s="1">
        <v>1993.6666666675701</v>
      </c>
      <c r="B154">
        <v>351.7</v>
      </c>
      <c r="C154" cm="1">
        <f t="array" ref="C154">TREND($B$2:$B$421, $A$2:$A$421, A154)</f>
        <v>340.80700184968555</v>
      </c>
      <c r="D154">
        <f t="shared" si="8"/>
        <v>10.89299815031444</v>
      </c>
      <c r="E154">
        <f t="shared" si="9"/>
        <v>7.6898280636350791E-2</v>
      </c>
      <c r="G154" s="7">
        <v>1993.6666666666665</v>
      </c>
      <c r="H154">
        <v>1.0344126068453905</v>
      </c>
      <c r="I154" cm="1">
        <f t="array" ref="I154">TREND($H$2:$H$421, $A$2:$A$421, A154)</f>
        <v>1.0168366768941506</v>
      </c>
      <c r="J154">
        <f t="shared" si="10"/>
        <v>1.757592995123991E-2</v>
      </c>
      <c r="K154">
        <f t="shared" si="11"/>
        <v>0.64271432189105793</v>
      </c>
    </row>
    <row r="155" spans="1:11" x14ac:dyDescent="0.35">
      <c r="A155" s="1">
        <v>1993.7500000008999</v>
      </c>
      <c r="B155">
        <v>407.6</v>
      </c>
      <c r="C155" cm="1">
        <f t="array" ref="C155">TREND($B$2:$B$421, $A$2:$A$421, A155)</f>
        <v>341.17683660012517</v>
      </c>
      <c r="D155">
        <f t="shared" si="8"/>
        <v>66.423163399874852</v>
      </c>
      <c r="E155">
        <f t="shared" si="9"/>
        <v>0.4689092010660858</v>
      </c>
      <c r="G155" s="7">
        <v>1993.75</v>
      </c>
      <c r="H155">
        <v>1.0448393632246182</v>
      </c>
      <c r="I155" cm="1">
        <f t="array" ref="I155">TREND($H$2:$H$421, $A$2:$A$421, A155)</f>
        <v>1.0167277021848649</v>
      </c>
      <c r="J155">
        <f t="shared" si="10"/>
        <v>2.8111661039753377E-2</v>
      </c>
      <c r="K155">
        <f t="shared" si="11"/>
        <v>1.0279835668736201</v>
      </c>
    </row>
    <row r="156" spans="1:11" x14ac:dyDescent="0.35">
      <c r="A156" s="1">
        <v>1993.83333333423</v>
      </c>
      <c r="B156">
        <v>432.1</v>
      </c>
      <c r="C156" cm="1">
        <f t="array" ref="C156">TREND($B$2:$B$421, $A$2:$A$421, A156)</f>
        <v>341.54667135056661</v>
      </c>
      <c r="D156">
        <f t="shared" si="8"/>
        <v>90.553328649433411</v>
      </c>
      <c r="E156">
        <f t="shared" si="9"/>
        <v>0.63925424230789873</v>
      </c>
      <c r="G156" s="7">
        <v>1993.8333333333333</v>
      </c>
      <c r="H156">
        <v>1.0511040937050304</v>
      </c>
      <c r="I156" cm="1">
        <f t="array" ref="I156">TREND($H$2:$H$421, $A$2:$A$421, A156)</f>
        <v>1.0166187274755782</v>
      </c>
      <c r="J156">
        <f t="shared" si="10"/>
        <v>3.4485366229452197E-2</v>
      </c>
      <c r="K156">
        <f t="shared" si="11"/>
        <v>1.2610563897794649</v>
      </c>
    </row>
    <row r="157" spans="1:11" x14ac:dyDescent="0.35">
      <c r="A157" s="1">
        <v>1993.9166666675601</v>
      </c>
      <c r="B157">
        <v>456.5</v>
      </c>
      <c r="C157" cm="1">
        <f t="array" ref="C157">TREND($B$2:$B$421, $A$2:$A$421, A157)</f>
        <v>341.91650610100623</v>
      </c>
      <c r="D157">
        <f t="shared" si="8"/>
        <v>114.58349389899377</v>
      </c>
      <c r="E157">
        <f t="shared" si="9"/>
        <v>0.808893341259317</v>
      </c>
      <c r="G157" s="7">
        <v>1993.9166666666665</v>
      </c>
      <c r="H157">
        <v>1.0551323446992873</v>
      </c>
      <c r="I157" cm="1">
        <f t="array" ref="I157">TREND($H$2:$H$421, $A$2:$A$421, A157)</f>
        <v>1.0165097527662921</v>
      </c>
      <c r="J157">
        <f t="shared" si="10"/>
        <v>3.8622591932995221E-2</v>
      </c>
      <c r="K157">
        <f t="shared" si="11"/>
        <v>1.4123459215390846</v>
      </c>
    </row>
    <row r="158" spans="1:11" x14ac:dyDescent="0.35">
      <c r="A158" s="1">
        <v>1994.0000000008899</v>
      </c>
      <c r="B158">
        <v>443.9</v>
      </c>
      <c r="C158" cm="1">
        <f t="array" ref="C158">TREND($B$2:$B$421, $A$2:$A$421, A158)</f>
        <v>342.28634085144586</v>
      </c>
      <c r="D158">
        <f t="shared" si="8"/>
        <v>101.61365914855412</v>
      </c>
      <c r="E158">
        <f t="shared" si="9"/>
        <v>0.71733379276001452</v>
      </c>
      <c r="G158" s="7">
        <v>1994</v>
      </c>
      <c r="H158">
        <v>1.0494071541792975</v>
      </c>
      <c r="I158" cm="1">
        <f t="array" ref="I158">TREND($H$2:$H$421, $A$2:$A$421, A158)</f>
        <v>1.0164007780570059</v>
      </c>
      <c r="J158">
        <f t="shared" si="10"/>
        <v>3.3006376122291625E-2</v>
      </c>
      <c r="K158">
        <f t="shared" si="11"/>
        <v>1.2069728717838637</v>
      </c>
    </row>
    <row r="159" spans="1:11" x14ac:dyDescent="0.35">
      <c r="A159" s="1">
        <v>1994.08333333422</v>
      </c>
      <c r="B159">
        <v>270.10000000000002</v>
      </c>
      <c r="C159" cm="1">
        <f t="array" ref="C159">TREND($B$2:$B$421, $A$2:$A$421, A159)</f>
        <v>342.6561756018873</v>
      </c>
      <c r="D159">
        <f t="shared" si="8"/>
        <v>-72.556175601887276</v>
      </c>
      <c r="E159">
        <f t="shared" si="9"/>
        <v>-0.51220472787595406</v>
      </c>
      <c r="G159" s="7">
        <v>1994.0833333333333</v>
      </c>
      <c r="H159">
        <v>1.0221955278072761</v>
      </c>
      <c r="I159" cm="1">
        <f t="array" ref="I159">TREND($H$2:$H$421, $A$2:$A$421, A159)</f>
        <v>1.0162918033477197</v>
      </c>
      <c r="J159">
        <f t="shared" si="10"/>
        <v>5.9037244595563365E-3</v>
      </c>
      <c r="K159">
        <f t="shared" si="11"/>
        <v>0.21588662865532063</v>
      </c>
    </row>
    <row r="160" spans="1:11" x14ac:dyDescent="0.35">
      <c r="A160" s="1">
        <v>1994.1666666675501</v>
      </c>
      <c r="B160">
        <v>232.3</v>
      </c>
      <c r="C160" cm="1">
        <f t="array" ref="C160">TREND($B$2:$B$421, $A$2:$A$421, A160)</f>
        <v>343.02601035232692</v>
      </c>
      <c r="D160">
        <f t="shared" si="8"/>
        <v>-110.72601035232691</v>
      </c>
      <c r="E160">
        <f t="shared" si="9"/>
        <v>-0.78166173355790947</v>
      </c>
      <c r="G160" s="7">
        <v>1994.1666666666665</v>
      </c>
      <c r="H160">
        <v>0.99117185440046129</v>
      </c>
      <c r="I160" cm="1">
        <f t="array" ref="I160">TREND($H$2:$H$421, $A$2:$A$421, A160)</f>
        <v>1.0161828286384336</v>
      </c>
      <c r="J160">
        <f t="shared" si="10"/>
        <v>-2.5010974237972272E-2</v>
      </c>
      <c r="K160">
        <f t="shared" si="11"/>
        <v>-0.91459805494158652</v>
      </c>
    </row>
    <row r="161" spans="1:11" x14ac:dyDescent="0.35">
      <c r="A161" s="1">
        <v>1994.2500000008799</v>
      </c>
      <c r="B161">
        <v>304.2</v>
      </c>
      <c r="C161" cm="1">
        <f t="array" ref="C161">TREND($B$2:$B$421, $A$2:$A$421, A161)</f>
        <v>343.39584510276654</v>
      </c>
      <c r="D161">
        <f t="shared" si="8"/>
        <v>-39.195845102766555</v>
      </c>
      <c r="E161">
        <f t="shared" si="9"/>
        <v>-0.2767000466629983</v>
      </c>
      <c r="G161" s="7">
        <v>1994.25</v>
      </c>
      <c r="H161">
        <v>0.98676571805172986</v>
      </c>
      <c r="I161" cm="1">
        <f t="array" ref="I161">TREND($H$2:$H$421, $A$2:$A$421, A161)</f>
        <v>1.0160738539291474</v>
      </c>
      <c r="J161">
        <f t="shared" si="10"/>
        <v>-2.930813587741754E-2</v>
      </c>
      <c r="K161">
        <f t="shared" si="11"/>
        <v>-1.0717361032163835</v>
      </c>
    </row>
    <row r="162" spans="1:11" x14ac:dyDescent="0.35">
      <c r="A162" s="1">
        <v>1994.33333333421</v>
      </c>
      <c r="B162">
        <v>379.7</v>
      </c>
      <c r="C162" cm="1">
        <f t="array" ref="C162">TREND($B$2:$B$421, $A$2:$A$421, A162)</f>
        <v>343.76567985320798</v>
      </c>
      <c r="D162">
        <f t="shared" si="8"/>
        <v>35.934320146792004</v>
      </c>
      <c r="E162">
        <f t="shared" si="9"/>
        <v>0.25367556268656488</v>
      </c>
      <c r="G162" s="7">
        <v>1994.3333333333333</v>
      </c>
      <c r="H162">
        <v>0.99479836654000309</v>
      </c>
      <c r="I162" cm="1">
        <f t="array" ref="I162">TREND($H$2:$H$421, $A$2:$A$421, A162)</f>
        <v>1.0159648792198612</v>
      </c>
      <c r="J162">
        <f t="shared" si="10"/>
        <v>-2.116651267985814E-2</v>
      </c>
      <c r="K162">
        <f t="shared" si="11"/>
        <v>-0.77401428439775255</v>
      </c>
    </row>
    <row r="163" spans="1:11" x14ac:dyDescent="0.35">
      <c r="A163" s="1">
        <v>1994.4166666675401</v>
      </c>
      <c r="B163">
        <v>444.4</v>
      </c>
      <c r="C163" cm="1">
        <f t="array" ref="C163">TREND($B$2:$B$421, $A$2:$A$421, A163)</f>
        <v>344.13551460364761</v>
      </c>
      <c r="D163">
        <f t="shared" si="8"/>
        <v>100.26448539635237</v>
      </c>
      <c r="E163">
        <f t="shared" si="9"/>
        <v>0.7078094046721467</v>
      </c>
      <c r="G163" s="7">
        <v>1994.4166666666665</v>
      </c>
      <c r="H163">
        <v>1.0034972152385384</v>
      </c>
      <c r="I163" cm="1">
        <f t="array" ref="I163">TREND($H$2:$H$421, $A$2:$A$421, A163)</f>
        <v>1.0158559045105751</v>
      </c>
      <c r="J163">
        <f t="shared" si="10"/>
        <v>-1.2358689272036649E-2</v>
      </c>
      <c r="K163">
        <f t="shared" si="11"/>
        <v>-0.45193094288472313</v>
      </c>
    </row>
    <row r="164" spans="1:11" x14ac:dyDescent="0.35">
      <c r="A164" s="1">
        <v>1994.5000000008699</v>
      </c>
      <c r="B164">
        <v>446.2</v>
      </c>
      <c r="C164" cm="1">
        <f t="array" ref="C164">TREND($B$2:$B$421, $A$2:$A$421, A164)</f>
        <v>344.50534935408723</v>
      </c>
      <c r="D164">
        <f t="shared" si="8"/>
        <v>101.69465064591276</v>
      </c>
      <c r="E164">
        <f t="shared" si="9"/>
        <v>0.71790554599150336</v>
      </c>
      <c r="G164" s="7">
        <v>1994.5</v>
      </c>
      <c r="H164">
        <v>1.0105231519737548</v>
      </c>
      <c r="I164" cm="1">
        <f t="array" ref="I164">TREND($H$2:$H$421, $A$2:$A$421, A164)</f>
        <v>1.0157469298012889</v>
      </c>
      <c r="J164">
        <f t="shared" si="10"/>
        <v>-5.2237778275341373E-3</v>
      </c>
      <c r="K164">
        <f t="shared" si="11"/>
        <v>-0.19102242859681967</v>
      </c>
    </row>
    <row r="165" spans="1:11" x14ac:dyDescent="0.35">
      <c r="A165" s="1">
        <v>1994.5833333342</v>
      </c>
      <c r="B165">
        <v>377.2</v>
      </c>
      <c r="C165" cm="1">
        <f t="array" ref="C165">TREND($B$2:$B$421, $A$2:$A$421, A165)</f>
        <v>344.87518410452867</v>
      </c>
      <c r="D165">
        <f t="shared" si="8"/>
        <v>32.324815895471318</v>
      </c>
      <c r="E165">
        <f t="shared" si="9"/>
        <v>0.22819454570244083</v>
      </c>
      <c r="G165" s="7">
        <v>1994.5833333333333</v>
      </c>
      <c r="H165">
        <v>1.020816591029988</v>
      </c>
      <c r="I165" cm="1">
        <f t="array" ref="I165">TREND($H$2:$H$421, $A$2:$A$421, A165)</f>
        <v>1.0156379550920027</v>
      </c>
      <c r="J165">
        <f t="shared" si="10"/>
        <v>5.1786359379852875E-3</v>
      </c>
      <c r="K165">
        <f t="shared" si="11"/>
        <v>0.18937168584743469</v>
      </c>
    </row>
    <row r="166" spans="1:11" x14ac:dyDescent="0.35">
      <c r="A166" s="1">
        <v>1994.6666666675301</v>
      </c>
      <c r="B166">
        <v>350.3</v>
      </c>
      <c r="C166" cm="1">
        <f t="array" ref="C166">TREND($B$2:$B$421, $A$2:$A$421, A166)</f>
        <v>345.24501885496829</v>
      </c>
      <c r="D166">
        <f t="shared" si="8"/>
        <v>5.0549811450317179</v>
      </c>
      <c r="E166">
        <f t="shared" si="9"/>
        <v>3.5685249674887148E-2</v>
      </c>
      <c r="G166" s="7">
        <v>1994.6666666666665</v>
      </c>
      <c r="H166">
        <v>1.0283012478022611</v>
      </c>
      <c r="I166" cm="1">
        <f t="array" ref="I166">TREND($H$2:$H$421, $A$2:$A$421, A166)</f>
        <v>1.0155289803827166</v>
      </c>
      <c r="J166">
        <f t="shared" si="10"/>
        <v>1.2772267419544514E-2</v>
      </c>
      <c r="K166">
        <f t="shared" si="11"/>
        <v>0.46705461482478416</v>
      </c>
    </row>
    <row r="167" spans="1:11" x14ac:dyDescent="0.35">
      <c r="A167" s="1">
        <v>1994.7500000008599</v>
      </c>
      <c r="B167">
        <v>413</v>
      </c>
      <c r="C167" cm="1">
        <f t="array" ref="C167">TREND($B$2:$B$421, $A$2:$A$421, A167)</f>
        <v>345.61485360540792</v>
      </c>
      <c r="D167">
        <f t="shared" si="8"/>
        <v>67.385146394592084</v>
      </c>
      <c r="E167">
        <f t="shared" si="9"/>
        <v>0.47570024585232185</v>
      </c>
      <c r="G167" s="7">
        <v>1994.75</v>
      </c>
      <c r="H167">
        <v>1.0402283096704155</v>
      </c>
      <c r="I167" cm="1">
        <f t="array" ref="I167">TREND($H$2:$H$421, $A$2:$A$421, A167)</f>
        <v>1.0154200056734304</v>
      </c>
      <c r="J167">
        <f t="shared" si="10"/>
        <v>2.4808303996985082E-2</v>
      </c>
      <c r="K167">
        <f t="shared" si="11"/>
        <v>0.90718683591275617</v>
      </c>
    </row>
    <row r="168" spans="1:11" x14ac:dyDescent="0.35">
      <c r="A168" s="1">
        <v>1994.83333333419</v>
      </c>
      <c r="B168">
        <v>473.5</v>
      </c>
      <c r="C168" cm="1">
        <f t="array" ref="C168">TREND($B$2:$B$421, $A$2:$A$421, A168)</f>
        <v>345.98468835584936</v>
      </c>
      <c r="D168">
        <f t="shared" si="8"/>
        <v>127.51531164415064</v>
      </c>
      <c r="E168">
        <f t="shared" si="9"/>
        <v>0.90018451164078206</v>
      </c>
      <c r="G168" s="7">
        <v>1994.8333333333333</v>
      </c>
      <c r="H168">
        <v>1.048696074687264</v>
      </c>
      <c r="I168" cm="1">
        <f t="array" ref="I168">TREND($H$2:$H$421, $A$2:$A$421, A168)</f>
        <v>1.0153110309641442</v>
      </c>
      <c r="J168">
        <f t="shared" si="10"/>
        <v>3.3385043723119789E-2</v>
      </c>
      <c r="K168">
        <f t="shared" si="11"/>
        <v>1.2208199393907315</v>
      </c>
    </row>
    <row r="169" spans="1:11" x14ac:dyDescent="0.35">
      <c r="A169" s="1">
        <v>1994.9166666675201</v>
      </c>
      <c r="B169">
        <v>485.2</v>
      </c>
      <c r="C169" cm="1">
        <f t="array" ref="C169">TREND($B$2:$B$421, $A$2:$A$421, A169)</f>
        <v>346.35452310628898</v>
      </c>
      <c r="D169">
        <f t="shared" si="8"/>
        <v>138.84547689371101</v>
      </c>
      <c r="E169">
        <f t="shared" si="9"/>
        <v>0.98016893971046648</v>
      </c>
      <c r="G169" s="7">
        <v>1994.9166666666665</v>
      </c>
      <c r="H169">
        <v>1.0630847799845875</v>
      </c>
      <c r="I169" cm="1">
        <f t="array" ref="I169">TREND($H$2:$H$421, $A$2:$A$421, A169)</f>
        <v>1.0152020562548576</v>
      </c>
      <c r="J169">
        <f t="shared" si="10"/>
        <v>4.7882723729729904E-2</v>
      </c>
      <c r="K169">
        <f t="shared" si="11"/>
        <v>1.7509692174256506</v>
      </c>
    </row>
    <row r="170" spans="1:11" x14ac:dyDescent="0.35">
      <c r="A170" s="1">
        <v>1995.0000000008499</v>
      </c>
      <c r="B170">
        <v>344.7</v>
      </c>
      <c r="C170" cm="1">
        <f t="array" ref="C170">TREND($B$2:$B$421, $A$2:$A$421, A170)</f>
        <v>346.7243578567286</v>
      </c>
      <c r="D170">
        <f t="shared" si="8"/>
        <v>-2.0243578567286136</v>
      </c>
      <c r="E170">
        <f t="shared" si="9"/>
        <v>-1.4290798219840806E-2</v>
      </c>
      <c r="G170" s="7">
        <v>1995</v>
      </c>
      <c r="H170">
        <v>1.0535081485352387</v>
      </c>
      <c r="I170" cm="1">
        <f t="array" ref="I170">TREND($H$2:$H$421, $A$2:$A$421, A170)</f>
        <v>1.0150930815455719</v>
      </c>
      <c r="J170">
        <f t="shared" si="10"/>
        <v>3.8415066989666791E-2</v>
      </c>
      <c r="K170">
        <f t="shared" si="11"/>
        <v>1.4047571763860915</v>
      </c>
    </row>
    <row r="171" spans="1:11" x14ac:dyDescent="0.35">
      <c r="A171" s="1">
        <v>1995.08333333418</v>
      </c>
      <c r="B171">
        <v>148.6</v>
      </c>
      <c r="C171" cm="1">
        <f t="array" ref="C171">TREND($B$2:$B$421, $A$2:$A$421, A171)</f>
        <v>347.09419260717004</v>
      </c>
      <c r="D171">
        <f t="shared" si="8"/>
        <v>-198.49419260717005</v>
      </c>
      <c r="E171">
        <f t="shared" si="9"/>
        <v>-1.4012544496166495</v>
      </c>
      <c r="G171" s="7">
        <v>1995.0833333333333</v>
      </c>
      <c r="H171">
        <v>1.0246090163392774</v>
      </c>
      <c r="I171" cm="1">
        <f t="array" ref="I171">TREND($H$2:$H$421, $A$2:$A$421, A171)</f>
        <v>1.0149841068362853</v>
      </c>
      <c r="J171">
        <f t="shared" si="10"/>
        <v>9.6249095029921072E-3</v>
      </c>
      <c r="K171">
        <f t="shared" si="11"/>
        <v>0.35196243963420387</v>
      </c>
    </row>
    <row r="172" spans="1:11" x14ac:dyDescent="0.35">
      <c r="A172" s="1">
        <v>1995.1666666675101</v>
      </c>
      <c r="B172">
        <v>135.19999999999999</v>
      </c>
      <c r="C172" cm="1">
        <f t="array" ref="C172">TREND($B$2:$B$421, $A$2:$A$421, A172)</f>
        <v>347.46402735760967</v>
      </c>
      <c r="D172">
        <f t="shared" si="8"/>
        <v>-212.26402735760968</v>
      </c>
      <c r="E172">
        <f t="shared" si="9"/>
        <v>-1.4984615364392107</v>
      </c>
      <c r="G172" s="7">
        <v>1995.1666666666665</v>
      </c>
      <c r="H172">
        <v>0.99961786753745485</v>
      </c>
      <c r="I172" cm="1">
        <f t="array" ref="I172">TREND($H$2:$H$421, $A$2:$A$421, A172)</f>
        <v>1.0148751321269991</v>
      </c>
      <c r="J172">
        <f t="shared" si="10"/>
        <v>-1.5257264589544239E-2</v>
      </c>
      <c r="K172">
        <f t="shared" si="11"/>
        <v>-0.557925668330853</v>
      </c>
    </row>
    <row r="173" spans="1:11" x14ac:dyDescent="0.35">
      <c r="A173" s="1">
        <v>1995.2500000008399</v>
      </c>
      <c r="B173">
        <v>182.4</v>
      </c>
      <c r="C173" cm="1">
        <f t="array" ref="C173">TREND($B$2:$B$421, $A$2:$A$421, A173)</f>
        <v>347.83386210804929</v>
      </c>
      <c r="D173">
        <f t="shared" si="8"/>
        <v>-165.43386210804928</v>
      </c>
      <c r="E173">
        <f t="shared" si="9"/>
        <v>-1.1678675952749156</v>
      </c>
      <c r="G173" s="7">
        <v>1995.25</v>
      </c>
      <c r="H173">
        <v>0.99589225789584845</v>
      </c>
      <c r="I173" cm="1">
        <f t="array" ref="I173">TREND($H$2:$H$421, $A$2:$A$421, A173)</f>
        <v>1.0147661574177134</v>
      </c>
      <c r="J173">
        <f t="shared" si="10"/>
        <v>-1.8873899521864912E-2</v>
      </c>
      <c r="K173">
        <f t="shared" si="11"/>
        <v>-0.69017830443617934</v>
      </c>
    </row>
    <row r="174" spans="1:11" x14ac:dyDescent="0.35">
      <c r="A174" s="1">
        <v>1995.33333333417</v>
      </c>
      <c r="B174">
        <v>289.89999999999998</v>
      </c>
      <c r="C174" cm="1">
        <f t="array" ref="C174">TREND($B$2:$B$421, $A$2:$A$421, A174)</f>
        <v>348.20369685849073</v>
      </c>
      <c r="D174">
        <f t="shared" si="8"/>
        <v>-58.303696858490753</v>
      </c>
      <c r="E174">
        <f t="shared" si="9"/>
        <v>-0.41159045299499941</v>
      </c>
      <c r="G174" s="7">
        <v>1995.3333333333333</v>
      </c>
      <c r="H174">
        <v>1.0013044471857524</v>
      </c>
      <c r="I174" cm="1">
        <f t="array" ref="I174">TREND($H$2:$H$421, $A$2:$A$421, A174)</f>
        <v>1.0146571827084268</v>
      </c>
      <c r="J174">
        <f t="shared" si="10"/>
        <v>-1.3352735522674353E-2</v>
      </c>
      <c r="K174">
        <f t="shared" si="11"/>
        <v>-0.48828109696928135</v>
      </c>
    </row>
    <row r="175" spans="1:11" x14ac:dyDescent="0.35">
      <c r="A175" s="1">
        <v>1995.4166666675001</v>
      </c>
      <c r="B175">
        <v>370.4</v>
      </c>
      <c r="C175" cm="1">
        <f t="array" ref="C175">TREND($B$2:$B$421, $A$2:$A$421, A175)</f>
        <v>348.57353160893217</v>
      </c>
      <c r="D175">
        <f t="shared" si="8"/>
        <v>21.826468391067806</v>
      </c>
      <c r="E175">
        <f t="shared" si="9"/>
        <v>0.15408227087493145</v>
      </c>
      <c r="G175" s="7">
        <v>1995.4166666666665</v>
      </c>
      <c r="H175">
        <v>1.0032752402952549</v>
      </c>
      <c r="I175" cm="1">
        <f t="array" ref="I175">TREND($H$2:$H$421, $A$2:$A$421, A175)</f>
        <v>1.0145482079991406</v>
      </c>
      <c r="J175">
        <f t="shared" si="10"/>
        <v>-1.1272967703885639E-2</v>
      </c>
      <c r="K175">
        <f t="shared" si="11"/>
        <v>-0.41222841770553864</v>
      </c>
    </row>
    <row r="176" spans="1:11" x14ac:dyDescent="0.35">
      <c r="A176" s="1">
        <v>1995.5000000008299</v>
      </c>
      <c r="B176">
        <v>439.9</v>
      </c>
      <c r="C176" cm="1">
        <f t="array" ref="C176">TREND($B$2:$B$421, $A$2:$A$421, A176)</f>
        <v>348.94336635936997</v>
      </c>
      <c r="D176">
        <f t="shared" si="8"/>
        <v>90.956633640630002</v>
      </c>
      <c r="E176">
        <f t="shared" si="9"/>
        <v>0.64210134280007913</v>
      </c>
      <c r="G176" s="7">
        <v>1995.5</v>
      </c>
      <c r="H176">
        <v>1.0076978889757544</v>
      </c>
      <c r="I176" cm="1">
        <f t="array" ref="I176">TREND($H$2:$H$421, $A$2:$A$421, A176)</f>
        <v>1.0144392332898544</v>
      </c>
      <c r="J176">
        <f t="shared" si="10"/>
        <v>-6.7413443141000062E-3</v>
      </c>
      <c r="K176">
        <f t="shared" si="11"/>
        <v>-0.24651660262025385</v>
      </c>
    </row>
    <row r="177" spans="1:11" x14ac:dyDescent="0.35">
      <c r="A177" s="1">
        <v>1995.58333333416</v>
      </c>
      <c r="B177">
        <v>528.79999999999995</v>
      </c>
      <c r="C177" cm="1">
        <f t="array" ref="C177">TREND($B$2:$B$421, $A$2:$A$421, A177)</f>
        <v>349.31320110981142</v>
      </c>
      <c r="D177">
        <f t="shared" si="8"/>
        <v>179.48679889018854</v>
      </c>
      <c r="E177">
        <f t="shared" si="9"/>
        <v>1.2670732190642275</v>
      </c>
      <c r="G177" s="7">
        <v>1995.5833333333333</v>
      </c>
      <c r="H177">
        <v>1.017333002154917</v>
      </c>
      <c r="I177" cm="1">
        <f t="array" ref="I177">TREND($H$2:$H$421, $A$2:$A$421, A177)</f>
        <v>1.0143302585805682</v>
      </c>
      <c r="J177">
        <f t="shared" si="10"/>
        <v>3.0027435743487096E-3</v>
      </c>
      <c r="K177">
        <f t="shared" si="11"/>
        <v>0.10980393672221787</v>
      </c>
    </row>
    <row r="178" spans="1:11" x14ac:dyDescent="0.35">
      <c r="A178" s="1">
        <v>1995.6666666674901</v>
      </c>
      <c r="B178">
        <v>577.79999999999995</v>
      </c>
      <c r="C178" cm="1">
        <f t="array" ref="C178">TREND($B$2:$B$421, $A$2:$A$421, A178)</f>
        <v>349.68303586025286</v>
      </c>
      <c r="D178">
        <f t="shared" si="8"/>
        <v>228.1169641397471</v>
      </c>
      <c r="E178">
        <f t="shared" si="9"/>
        <v>1.610374121455842</v>
      </c>
      <c r="G178" s="7">
        <v>1995.6666666666665</v>
      </c>
      <c r="H178">
        <v>1.0330555885954977</v>
      </c>
      <c r="I178" cm="1">
        <f t="array" ref="I178">TREND($H$2:$H$421, $A$2:$A$421, A178)</f>
        <v>1.0142212838712821</v>
      </c>
      <c r="J178">
        <f t="shared" si="10"/>
        <v>1.8834304724215656E-2</v>
      </c>
      <c r="K178">
        <f t="shared" si="11"/>
        <v>0.688730407022353</v>
      </c>
    </row>
    <row r="179" spans="1:11" x14ac:dyDescent="0.35">
      <c r="A179" s="1">
        <v>1995.7500000008199</v>
      </c>
      <c r="B179">
        <v>565.20000000000005</v>
      </c>
      <c r="C179" cm="1">
        <f t="array" ref="C179">TREND($B$2:$B$421, $A$2:$A$421, A179)</f>
        <v>350.05287061069248</v>
      </c>
      <c r="D179">
        <f t="shared" si="8"/>
        <v>215.14712938930757</v>
      </c>
      <c r="E179">
        <f t="shared" si="9"/>
        <v>1.5188145729565403</v>
      </c>
      <c r="G179" s="7">
        <v>1995.75</v>
      </c>
      <c r="H179">
        <v>1.049881286623749</v>
      </c>
      <c r="I179" cm="1">
        <f t="array" ref="I179">TREND($H$2:$H$421, $A$2:$A$421, A179)</f>
        <v>1.0141123091619959</v>
      </c>
      <c r="J179">
        <f t="shared" si="10"/>
        <v>3.5768977461753115E-2</v>
      </c>
      <c r="K179">
        <f t="shared" si="11"/>
        <v>1.3079953184750612</v>
      </c>
    </row>
    <row r="180" spans="1:11" x14ac:dyDescent="0.35">
      <c r="A180" s="1">
        <v>1995.83333333415</v>
      </c>
      <c r="B180">
        <v>571.5</v>
      </c>
      <c r="C180" cm="1">
        <f t="array" ref="C180">TREND($B$2:$B$421, $A$2:$A$421, A180)</f>
        <v>350.4227053611321</v>
      </c>
      <c r="D180">
        <f t="shared" si="8"/>
        <v>221.0772946388679</v>
      </c>
      <c r="E180">
        <f t="shared" si="9"/>
        <v>1.5606781173442275</v>
      </c>
      <c r="G180" s="7">
        <v>1995.8333333333333</v>
      </c>
      <c r="H180">
        <v>1.0614817769508986</v>
      </c>
      <c r="I180" cm="1">
        <f t="array" ref="I180">TREND($H$2:$H$421, $A$2:$A$421, A180)</f>
        <v>1.0140033344527097</v>
      </c>
      <c r="J180">
        <f t="shared" si="10"/>
        <v>4.7478442498188889E-2</v>
      </c>
      <c r="K180">
        <f t="shared" si="11"/>
        <v>1.7361855139002027</v>
      </c>
    </row>
    <row r="181" spans="1:11" x14ac:dyDescent="0.35">
      <c r="A181" s="1">
        <v>1995.9166666674801</v>
      </c>
      <c r="B181">
        <v>543.9</v>
      </c>
      <c r="C181" cm="1">
        <f t="array" ref="C181">TREND($B$2:$B$421, $A$2:$A$421, A181)</f>
        <v>350.79254011157354</v>
      </c>
      <c r="D181">
        <f t="shared" si="8"/>
        <v>193.10745988842643</v>
      </c>
      <c r="E181">
        <f t="shared" si="9"/>
        <v>1.3632272252838091</v>
      </c>
      <c r="G181" s="7">
        <v>1995.9166666666665</v>
      </c>
      <c r="H181">
        <v>1.0677224537893064</v>
      </c>
      <c r="I181" cm="1">
        <f t="array" ref="I181">TREND($H$2:$H$421, $A$2:$A$421, A181)</f>
        <v>1.0138943597434236</v>
      </c>
      <c r="J181">
        <f t="shared" si="10"/>
        <v>5.3828094045882846E-2</v>
      </c>
      <c r="K181">
        <f t="shared" si="11"/>
        <v>1.9683787463517697</v>
      </c>
    </row>
    <row r="182" spans="1:11" x14ac:dyDescent="0.35">
      <c r="A182" s="1">
        <v>1996.0000000008099</v>
      </c>
      <c r="B182">
        <v>380.6</v>
      </c>
      <c r="C182" cm="1">
        <f t="array" ref="C182">TREND($B$2:$B$421, $A$2:$A$421, A182)</f>
        <v>351.16237486201317</v>
      </c>
      <c r="D182">
        <f t="shared" si="8"/>
        <v>29.437625137986856</v>
      </c>
      <c r="E182">
        <f t="shared" si="9"/>
        <v>0.20781264514062561</v>
      </c>
      <c r="G182" s="7">
        <v>1996</v>
      </c>
      <c r="H182">
        <v>1.0615939803195431</v>
      </c>
      <c r="I182" cm="1">
        <f t="array" ref="I182">TREND($H$2:$H$421, $A$2:$A$421, A182)</f>
        <v>1.0137853850341374</v>
      </c>
      <c r="J182">
        <f t="shared" si="10"/>
        <v>4.7808595285405708E-2</v>
      </c>
      <c r="K182">
        <f t="shared" si="11"/>
        <v>1.7482584981090146</v>
      </c>
    </row>
    <row r="183" spans="1:11" x14ac:dyDescent="0.35">
      <c r="A183" s="1">
        <v>1996.08333333414</v>
      </c>
      <c r="B183">
        <v>298.2</v>
      </c>
      <c r="C183" cm="1">
        <f t="array" ref="C183">TREND($B$2:$B$421, $A$2:$A$421, A183)</f>
        <v>351.53220961245279</v>
      </c>
      <c r="D183">
        <f t="shared" si="8"/>
        <v>-53.3322096124528</v>
      </c>
      <c r="E183">
        <f t="shared" si="9"/>
        <v>-0.37649462206300965</v>
      </c>
      <c r="G183" s="7">
        <v>1996.0833333333333</v>
      </c>
      <c r="H183">
        <v>1.0305874366642147</v>
      </c>
      <c r="I183" cm="1">
        <f t="array" ref="I183">TREND($H$2:$H$421, $A$2:$A$421, A183)</f>
        <v>1.0136764103248512</v>
      </c>
      <c r="J183">
        <f t="shared" si="10"/>
        <v>1.6911026339363477E-2</v>
      </c>
      <c r="K183">
        <f t="shared" si="11"/>
        <v>0.61840021303789094</v>
      </c>
    </row>
    <row r="184" spans="1:11" x14ac:dyDescent="0.35">
      <c r="A184" s="1">
        <v>1996.1666666674701</v>
      </c>
      <c r="B184">
        <v>313.39999999999998</v>
      </c>
      <c r="C184" cm="1">
        <f t="array" ref="C184">TREND($B$2:$B$421, $A$2:$A$421, A184)</f>
        <v>351.90204436289423</v>
      </c>
      <c r="D184">
        <f t="shared" si="8"/>
        <v>-38.502044362894253</v>
      </c>
      <c r="E184">
        <f t="shared" si="9"/>
        <v>-0.2718022138290806</v>
      </c>
      <c r="G184" s="7">
        <v>1996.1666666666665</v>
      </c>
      <c r="H184">
        <v>0.9991411206669627</v>
      </c>
      <c r="I184" cm="1">
        <f t="array" ref="I184">TREND($H$2:$H$421, $A$2:$A$421, A184)</f>
        <v>1.0135674356155651</v>
      </c>
      <c r="J184">
        <f t="shared" si="10"/>
        <v>-1.4426314948602359E-2</v>
      </c>
      <c r="K184">
        <f t="shared" si="11"/>
        <v>-0.52753960986992288</v>
      </c>
    </row>
    <row r="185" spans="1:11" x14ac:dyDescent="0.35">
      <c r="A185" s="1">
        <v>1996.2500000007999</v>
      </c>
      <c r="B185">
        <v>349.2</v>
      </c>
      <c r="C185" cm="1">
        <f t="array" ref="C185">TREND($B$2:$B$421, $A$2:$A$421, A185)</f>
        <v>352.27187911333385</v>
      </c>
      <c r="D185">
        <f t="shared" si="8"/>
        <v>-3.0718791133338641</v>
      </c>
      <c r="E185">
        <f t="shared" si="9"/>
        <v>-2.1685693771223803E-2</v>
      </c>
      <c r="G185" s="7">
        <v>1996.25</v>
      </c>
      <c r="H185">
        <v>0.99613535718664625</v>
      </c>
      <c r="I185" cm="1">
        <f t="array" ref="I185">TREND($H$2:$H$421, $A$2:$A$421, A185)</f>
        <v>1.0134584609062789</v>
      </c>
      <c r="J185">
        <f t="shared" si="10"/>
        <v>-1.7323103719632638E-2</v>
      </c>
      <c r="K185">
        <f t="shared" si="11"/>
        <v>-0.63346900511669046</v>
      </c>
    </row>
    <row r="186" spans="1:11" x14ac:dyDescent="0.35">
      <c r="A186" s="1">
        <v>1996.33333333413</v>
      </c>
      <c r="B186">
        <v>368.6</v>
      </c>
      <c r="C186" cm="1">
        <f t="array" ref="C186">TREND($B$2:$B$421, $A$2:$A$421, A186)</f>
        <v>352.64171386377348</v>
      </c>
      <c r="D186">
        <f t="shared" si="8"/>
        <v>15.958286136226548</v>
      </c>
      <c r="E186">
        <f t="shared" si="9"/>
        <v>0.11265629065982721</v>
      </c>
      <c r="G186" s="7">
        <v>1996.3333333333333</v>
      </c>
      <c r="H186">
        <v>1.0015673701137104</v>
      </c>
      <c r="I186" cm="1">
        <f t="array" ref="I186">TREND($H$2:$H$421, $A$2:$A$421, A186)</f>
        <v>1.0133494861969927</v>
      </c>
      <c r="J186">
        <f t="shared" si="10"/>
        <v>-1.1782116083282279E-2</v>
      </c>
      <c r="K186">
        <f t="shared" si="11"/>
        <v>-0.4308468894628617</v>
      </c>
    </row>
    <row r="187" spans="1:11" x14ac:dyDescent="0.35">
      <c r="A187" s="1">
        <v>1996.41666666746</v>
      </c>
      <c r="B187">
        <v>428.3</v>
      </c>
      <c r="C187" cm="1">
        <f t="array" ref="C187">TREND($B$2:$B$421, $A$2:$A$421, A187)</f>
        <v>353.01154861421492</v>
      </c>
      <c r="D187">
        <f t="shared" si="8"/>
        <v>75.288451385785095</v>
      </c>
      <c r="E187">
        <f t="shared" si="9"/>
        <v>0.53149301812502847</v>
      </c>
      <c r="G187" s="7">
        <v>1996.4166666666665</v>
      </c>
      <c r="H187">
        <v>1.0054355322011295</v>
      </c>
      <c r="I187" cm="1">
        <f t="array" ref="I187">TREND($H$2:$H$421, $A$2:$A$421, A187)</f>
        <v>1.0132405114877061</v>
      </c>
      <c r="J187">
        <f t="shared" si="10"/>
        <v>-7.804979286576641E-3</v>
      </c>
      <c r="K187">
        <f t="shared" si="11"/>
        <v>-0.28541146803969197</v>
      </c>
    </row>
    <row r="188" spans="1:11" x14ac:dyDescent="0.35">
      <c r="A188" s="1">
        <v>1996.5000000007899</v>
      </c>
      <c r="B188">
        <v>464.1</v>
      </c>
      <c r="C188" cm="1">
        <f t="array" ref="C188">TREND($B$2:$B$421, $A$2:$A$421, A188)</f>
        <v>353.38138336465454</v>
      </c>
      <c r="D188">
        <f t="shared" si="8"/>
        <v>110.71861663534548</v>
      </c>
      <c r="E188">
        <f t="shared" si="9"/>
        <v>0.78160953818288526</v>
      </c>
      <c r="G188" s="7">
        <v>1996.5</v>
      </c>
      <c r="H188">
        <v>1.0122537232247959</v>
      </c>
      <c r="I188" cm="1">
        <f t="array" ref="I188">TREND($H$2:$H$421, $A$2:$A$421, A188)</f>
        <v>1.0131315367784204</v>
      </c>
      <c r="J188">
        <f t="shared" si="10"/>
        <v>-8.7781355362448465E-4</v>
      </c>
      <c r="K188">
        <f t="shared" si="11"/>
        <v>-3.2099771928424711E-2</v>
      </c>
    </row>
    <row r="189" spans="1:11" x14ac:dyDescent="0.35">
      <c r="A189" s="1">
        <v>1996.58333333412</v>
      </c>
      <c r="B189">
        <v>478.5</v>
      </c>
      <c r="C189" cm="1">
        <f t="array" ref="C189">TREND($B$2:$B$421, $A$2:$A$421, A189)</f>
        <v>353.75121811509416</v>
      </c>
      <c r="D189">
        <f t="shared" si="8"/>
        <v>124.74878188490584</v>
      </c>
      <c r="E189">
        <f t="shared" si="9"/>
        <v>0.88065440809356821</v>
      </c>
      <c r="G189" s="7">
        <v>1996.5833333333333</v>
      </c>
      <c r="H189">
        <v>1.0284145593724383</v>
      </c>
      <c r="I189" cm="1">
        <f t="array" ref="I189">TREND($H$2:$H$421, $A$2:$A$421, A189)</f>
        <v>1.0130225620691342</v>
      </c>
      <c r="J189">
        <f t="shared" si="10"/>
        <v>1.5391997303304095E-2</v>
      </c>
      <c r="K189">
        <f t="shared" si="11"/>
        <v>0.56285255669468393</v>
      </c>
    </row>
    <row r="190" spans="1:11" x14ac:dyDescent="0.35">
      <c r="A190" s="1">
        <v>1996.66666666745</v>
      </c>
      <c r="B190">
        <v>460.3</v>
      </c>
      <c r="C190" cm="1">
        <f t="array" ref="C190">TREND($B$2:$B$421, $A$2:$A$421, A190)</f>
        <v>354.1210528655356</v>
      </c>
      <c r="D190">
        <f t="shared" si="8"/>
        <v>106.17894713446441</v>
      </c>
      <c r="E190">
        <f t="shared" si="9"/>
        <v>0.74956209133144136</v>
      </c>
      <c r="G190" s="7">
        <v>1996.6666666666665</v>
      </c>
      <c r="H190">
        <v>1.0434682863136693</v>
      </c>
      <c r="I190" cm="1">
        <f t="array" ref="I190">TREND($H$2:$H$421, $A$2:$A$421, A190)</f>
        <v>1.0129135873598476</v>
      </c>
      <c r="J190">
        <f t="shared" si="10"/>
        <v>3.055469895382168E-2</v>
      </c>
      <c r="K190">
        <f t="shared" si="11"/>
        <v>1.1173202597627387</v>
      </c>
    </row>
    <row r="191" spans="1:11" x14ac:dyDescent="0.35">
      <c r="A191" s="1">
        <v>1996.7500000007799</v>
      </c>
      <c r="B191">
        <v>452.9</v>
      </c>
      <c r="C191" cm="1">
        <f t="array" ref="C191">TREND($B$2:$B$421, $A$2:$A$421, A191)</f>
        <v>354.49088761597523</v>
      </c>
      <c r="D191">
        <f t="shared" si="8"/>
        <v>98.409112384024752</v>
      </c>
      <c r="E191">
        <f t="shared" si="9"/>
        <v>0.69471154193332119</v>
      </c>
      <c r="G191" s="7">
        <v>1996.75</v>
      </c>
      <c r="H191">
        <v>1.0545603193036599</v>
      </c>
      <c r="I191" cm="1">
        <f t="array" ref="I191">TREND($H$2:$H$421, $A$2:$A$421, A191)</f>
        <v>1.0128046126505619</v>
      </c>
      <c r="J191">
        <f t="shared" si="10"/>
        <v>4.1755706653098024E-2</v>
      </c>
      <c r="K191">
        <f t="shared" si="11"/>
        <v>1.526917253373264</v>
      </c>
    </row>
    <row r="192" spans="1:11" x14ac:dyDescent="0.35">
      <c r="A192" s="1">
        <v>1996.83333333411</v>
      </c>
      <c r="B192">
        <v>456.4</v>
      </c>
      <c r="C192" cm="1">
        <f t="array" ref="C192">TREND($B$2:$B$421, $A$2:$A$421, A192)</f>
        <v>354.86072236641485</v>
      </c>
      <c r="D192">
        <f t="shared" si="8"/>
        <v>101.53927763358513</v>
      </c>
      <c r="E192">
        <f t="shared" si="9"/>
        <v>0.7168087021896028</v>
      </c>
      <c r="G192" s="7">
        <v>1996.8333333333333</v>
      </c>
      <c r="H192">
        <v>1.053476163777626</v>
      </c>
      <c r="I192" cm="1">
        <f t="array" ref="I192">TREND($H$2:$H$421, $A$2:$A$421, A192)</f>
        <v>1.0126956379412753</v>
      </c>
      <c r="J192">
        <f t="shared" si="10"/>
        <v>4.0780525836350723E-2</v>
      </c>
      <c r="K192">
        <f t="shared" si="11"/>
        <v>1.4912569680230312</v>
      </c>
    </row>
    <row r="193" spans="1:11" x14ac:dyDescent="0.35">
      <c r="A193" s="1">
        <v>1996.91666666744</v>
      </c>
      <c r="B193">
        <v>438.6</v>
      </c>
      <c r="C193" cm="1">
        <f t="array" ref="C193">TREND($B$2:$B$421, $A$2:$A$421, A193)</f>
        <v>355.23055711685629</v>
      </c>
      <c r="D193">
        <f t="shared" si="8"/>
        <v>83.369442883143734</v>
      </c>
      <c r="E193">
        <f t="shared" si="9"/>
        <v>0.58854015458910558</v>
      </c>
      <c r="G193" s="7">
        <v>1996.9166666666665</v>
      </c>
      <c r="H193">
        <v>1.0532667813601209</v>
      </c>
      <c r="I193" cm="1">
        <f t="array" ref="I193">TREND($H$2:$H$421, $A$2:$A$421, A193)</f>
        <v>1.0125866632319891</v>
      </c>
      <c r="J193">
        <f t="shared" si="10"/>
        <v>4.068011812813177E-2</v>
      </c>
      <c r="K193">
        <f t="shared" si="11"/>
        <v>1.4875852720001399</v>
      </c>
    </row>
    <row r="194" spans="1:11" x14ac:dyDescent="0.35">
      <c r="A194" s="1">
        <v>1997.0000000007699</v>
      </c>
      <c r="B194">
        <v>288.60000000000002</v>
      </c>
      <c r="C194" cm="1">
        <f t="array" ref="C194">TREND($B$2:$B$421, $A$2:$A$421, A194)</f>
        <v>355.60039186729591</v>
      </c>
      <c r="D194">
        <f t="shared" si="8"/>
        <v>-67.000391867295889</v>
      </c>
      <c r="E194">
        <f t="shared" si="9"/>
        <v>-0.4729841009299004</v>
      </c>
      <c r="G194" s="7">
        <v>1997</v>
      </c>
      <c r="H194">
        <v>1.0364167856402398</v>
      </c>
      <c r="I194" cm="1">
        <f t="array" ref="I194">TREND($H$2:$H$421, $A$2:$A$421, A194)</f>
        <v>1.0124776885227034</v>
      </c>
      <c r="J194">
        <f t="shared" si="10"/>
        <v>2.393909711753639E-2</v>
      </c>
      <c r="K194">
        <f t="shared" si="11"/>
        <v>0.87540179172688604</v>
      </c>
    </row>
    <row r="195" spans="1:11" x14ac:dyDescent="0.35">
      <c r="A195" s="1">
        <v>1997.0833333341</v>
      </c>
      <c r="B195">
        <v>218.1</v>
      </c>
      <c r="C195" cm="1">
        <f t="array" ref="C195">TREND($B$2:$B$421, $A$2:$A$421, A195)</f>
        <v>355.97022661773553</v>
      </c>
      <c r="D195">
        <f t="shared" ref="D195:D258" si="12">B195 - C195</f>
        <v>-137.87022661773554</v>
      </c>
      <c r="E195">
        <f t="shared" ref="E195:E258" si="13">(D195 - AVERAGE($D$2:$D$421)) / _xlfn.STDEV.S($D$2:$D$421)</f>
        <v>-0.9732842355750605</v>
      </c>
      <c r="G195" s="7">
        <v>1997.0833333333333</v>
      </c>
      <c r="H195">
        <v>0.98965104294185413</v>
      </c>
      <c r="I195" cm="1">
        <f t="array" ref="I195">TREND($H$2:$H$421, $A$2:$A$421, A195)</f>
        <v>1.0123687138134168</v>
      </c>
      <c r="J195">
        <f t="shared" ref="J195:J258" si="14">H195 - I195</f>
        <v>-2.2717670871562623E-2</v>
      </c>
      <c r="K195">
        <f t="shared" ref="K195:K258" si="15">(J195 - AVERAGE($J$2:$J$421)) / _xlfn.STDEV.S($J$2:$J$421)</f>
        <v>-0.83073683552835687</v>
      </c>
    </row>
    <row r="196" spans="1:11" x14ac:dyDescent="0.35">
      <c r="A196" s="1">
        <v>1997.16666666743</v>
      </c>
      <c r="B196">
        <v>132.69999999999999</v>
      </c>
      <c r="C196" cm="1">
        <f t="array" ref="C196">TREND($B$2:$B$421, $A$2:$A$421, A196)</f>
        <v>356.34006136817698</v>
      </c>
      <c r="D196">
        <f t="shared" si="12"/>
        <v>-223.64006136817699</v>
      </c>
      <c r="E196">
        <f t="shared" si="13"/>
        <v>-1.578769771490929</v>
      </c>
      <c r="G196" s="7">
        <v>1997.1666666666665</v>
      </c>
      <c r="H196">
        <v>0.96822618875616384</v>
      </c>
      <c r="I196" cm="1">
        <f t="array" ref="I196">TREND($H$2:$H$421, $A$2:$A$421, A196)</f>
        <v>1.0122597391041306</v>
      </c>
      <c r="J196">
        <f t="shared" si="14"/>
        <v>-4.4033550347966743E-2</v>
      </c>
      <c r="K196">
        <f t="shared" si="15"/>
        <v>-1.6102131455270989</v>
      </c>
    </row>
    <row r="197" spans="1:11" x14ac:dyDescent="0.35">
      <c r="A197" s="1">
        <v>1997.2500000007601</v>
      </c>
      <c r="B197">
        <v>131.80000000000001</v>
      </c>
      <c r="C197" cm="1">
        <f t="array" ref="C197">TREND($B$2:$B$421, $A$2:$A$421, A197)</f>
        <v>356.7098961186166</v>
      </c>
      <c r="D197">
        <f t="shared" si="12"/>
        <v>-224.90989611861659</v>
      </c>
      <c r="E197">
        <f t="shared" si="13"/>
        <v>-1.5877340720125708</v>
      </c>
      <c r="G197" s="7">
        <v>1997.25</v>
      </c>
      <c r="H197">
        <v>0.96439043981316641</v>
      </c>
      <c r="I197" cm="1">
        <f t="array" ref="I197">TREND($H$2:$H$421, $A$2:$A$421, A197)</f>
        <v>1.0121507643948444</v>
      </c>
      <c r="J197">
        <f t="shared" si="14"/>
        <v>-4.7760324581678004E-2</v>
      </c>
      <c r="K197">
        <f t="shared" si="15"/>
        <v>-1.7464933412894785</v>
      </c>
    </row>
    <row r="198" spans="1:11" x14ac:dyDescent="0.35">
      <c r="A198" s="1">
        <v>1997.33333333409</v>
      </c>
      <c r="B198">
        <v>173.5</v>
      </c>
      <c r="C198" cm="1">
        <f t="array" ref="C198">TREND($B$2:$B$421, $A$2:$A$421, A198)</f>
        <v>357.07973086905622</v>
      </c>
      <c r="D198">
        <f t="shared" si="12"/>
        <v>-183.57973086905622</v>
      </c>
      <c r="E198">
        <f t="shared" si="13"/>
        <v>-1.2959669568206804</v>
      </c>
      <c r="G198" s="7">
        <v>1997.3333333333333</v>
      </c>
      <c r="H198">
        <v>0.96964864201342293</v>
      </c>
      <c r="I198" cm="1">
        <f t="array" ref="I198">TREND($H$2:$H$421, $A$2:$A$421, A198)</f>
        <v>1.0120417896855582</v>
      </c>
      <c r="J198">
        <f t="shared" si="14"/>
        <v>-4.2393147672135312E-2</v>
      </c>
      <c r="K198">
        <f t="shared" si="15"/>
        <v>-1.5502271137011745</v>
      </c>
    </row>
    <row r="199" spans="1:11" x14ac:dyDescent="0.35">
      <c r="A199" s="1">
        <v>1997.41666666742</v>
      </c>
      <c r="B199">
        <v>219.6</v>
      </c>
      <c r="C199" cm="1">
        <f t="array" ref="C199">TREND($B$2:$B$421, $A$2:$A$421, A199)</f>
        <v>357.44956561949766</v>
      </c>
      <c r="D199">
        <f t="shared" si="12"/>
        <v>-137.84956561949767</v>
      </c>
      <c r="E199">
        <f t="shared" si="13"/>
        <v>-0.973138380850879</v>
      </c>
      <c r="G199" s="7">
        <v>1997.4166666666665</v>
      </c>
      <c r="H199">
        <v>0.97228589461693149</v>
      </c>
      <c r="I199" cm="1">
        <f t="array" ref="I199">TREND($H$2:$H$421, $A$2:$A$421, A199)</f>
        <v>1.0119328149762721</v>
      </c>
      <c r="J199">
        <f t="shared" si="14"/>
        <v>-3.9646920359340587E-2</v>
      </c>
      <c r="K199">
        <f t="shared" si="15"/>
        <v>-1.4498034302887881</v>
      </c>
    </row>
    <row r="200" spans="1:11" x14ac:dyDescent="0.35">
      <c r="A200" s="1">
        <v>1997.5000000007501</v>
      </c>
      <c r="B200">
        <v>251.2</v>
      </c>
      <c r="C200" cm="1">
        <f t="array" ref="C200">TREND($B$2:$B$421, $A$2:$A$421, A200)</f>
        <v>357.81940036993728</v>
      </c>
      <c r="D200">
        <f t="shared" si="12"/>
        <v>-106.6194003699373</v>
      </c>
      <c r="E200">
        <f t="shared" si="13"/>
        <v>-0.75267143699013117</v>
      </c>
      <c r="G200" s="7">
        <v>1997.5</v>
      </c>
      <c r="H200">
        <v>0.97707751637493268</v>
      </c>
      <c r="I200" cm="1">
        <f t="array" ref="I200">TREND($H$2:$H$421, $A$2:$A$421, A200)</f>
        <v>1.0118238402669859</v>
      </c>
      <c r="J200">
        <f t="shared" si="14"/>
        <v>-3.4746323892053232E-2</v>
      </c>
      <c r="K200">
        <f t="shared" si="15"/>
        <v>-1.2705990556655171</v>
      </c>
    </row>
    <row r="201" spans="1:11" x14ac:dyDescent="0.35">
      <c r="A201" s="1">
        <v>1997.58333333408</v>
      </c>
      <c r="B201">
        <v>188.8</v>
      </c>
      <c r="C201" cm="1">
        <f t="array" ref="C201">TREND($B$2:$B$421, $A$2:$A$421, A201)</f>
        <v>358.18923512037691</v>
      </c>
      <c r="D201">
        <f t="shared" si="12"/>
        <v>-169.3892351203769</v>
      </c>
      <c r="E201">
        <f t="shared" si="13"/>
        <v>-1.1957902461122953</v>
      </c>
      <c r="G201" s="7">
        <v>1997.5833333333333</v>
      </c>
      <c r="H201">
        <v>0.98367324648464782</v>
      </c>
      <c r="I201" cm="1">
        <f t="array" ref="I201">TREND($H$2:$H$421, $A$2:$A$421, A201)</f>
        <v>1.0117148655576997</v>
      </c>
      <c r="J201">
        <f t="shared" si="14"/>
        <v>-2.8041619073051915E-2</v>
      </c>
      <c r="K201">
        <f t="shared" si="15"/>
        <v>-1.0254222813395459</v>
      </c>
    </row>
    <row r="202" spans="1:11" x14ac:dyDescent="0.35">
      <c r="A202" s="1">
        <v>1997.66666666741</v>
      </c>
      <c r="B202">
        <v>188.8</v>
      </c>
      <c r="C202" cm="1">
        <f t="array" ref="C202">TREND($B$2:$B$421, $A$2:$A$421, A202)</f>
        <v>358.55906987081835</v>
      </c>
      <c r="D202">
        <f t="shared" si="12"/>
        <v>-169.75906987081834</v>
      </c>
      <c r="E202">
        <f t="shared" si="13"/>
        <v>-1.198401066020284</v>
      </c>
      <c r="G202" s="7">
        <v>1997.6666666666665</v>
      </c>
      <c r="H202">
        <v>0.98511532692903603</v>
      </c>
      <c r="I202" cm="1">
        <f t="array" ref="I202">TREND($H$2:$H$421, $A$2:$A$421, A202)</f>
        <v>1.0116058908484136</v>
      </c>
      <c r="J202">
        <f t="shared" si="14"/>
        <v>-2.6490563919377541E-2</v>
      </c>
      <c r="K202">
        <f t="shared" si="15"/>
        <v>-0.96870349809023348</v>
      </c>
    </row>
    <row r="203" spans="1:11" x14ac:dyDescent="0.35">
      <c r="A203" s="1">
        <v>1997.7500000007401</v>
      </c>
      <c r="B203">
        <v>251</v>
      </c>
      <c r="C203" cm="1">
        <f t="array" ref="C203">TREND($B$2:$B$421, $A$2:$A$421, A203)</f>
        <v>358.92890462125797</v>
      </c>
      <c r="D203">
        <f t="shared" si="12"/>
        <v>-107.92890462125797</v>
      </c>
      <c r="E203">
        <f t="shared" si="13"/>
        <v>-0.76191578129488602</v>
      </c>
      <c r="G203" s="7">
        <v>1997.75</v>
      </c>
      <c r="H203">
        <v>0.98972524226027003</v>
      </c>
      <c r="I203" cm="1">
        <f t="array" ref="I203">TREND($H$2:$H$421, $A$2:$A$421, A203)</f>
        <v>1.011496916139127</v>
      </c>
      <c r="J203">
        <f t="shared" si="14"/>
        <v>-2.1771673878856923E-2</v>
      </c>
      <c r="K203">
        <f t="shared" si="15"/>
        <v>-0.79614374046228642</v>
      </c>
    </row>
    <row r="204" spans="1:11" x14ac:dyDescent="0.35">
      <c r="A204" s="1">
        <v>1997.8333333340699</v>
      </c>
      <c r="B204">
        <v>280.3</v>
      </c>
      <c r="C204" cm="1">
        <f t="array" ref="C204">TREND($B$2:$B$421, $A$2:$A$421, A204)</f>
        <v>359.29873937169759</v>
      </c>
      <c r="D204">
        <f t="shared" si="12"/>
        <v>-78.998739371697582</v>
      </c>
      <c r="E204">
        <f t="shared" si="13"/>
        <v>-0.5576855101135072</v>
      </c>
      <c r="G204" s="7">
        <v>1997.8333333333333</v>
      </c>
      <c r="H204">
        <v>0.99250552691772342</v>
      </c>
      <c r="I204" cm="1">
        <f t="array" ref="I204">TREND($H$2:$H$421, $A$2:$A$421, A204)</f>
        <v>1.0113879414298412</v>
      </c>
      <c r="J204">
        <f t="shared" si="14"/>
        <v>-1.8882414512117807E-2</v>
      </c>
      <c r="K204">
        <f t="shared" si="15"/>
        <v>-0.69048967949294626</v>
      </c>
    </row>
    <row r="205" spans="1:11" x14ac:dyDescent="0.35">
      <c r="A205" s="1">
        <v>1997.9166666674</v>
      </c>
      <c r="B205">
        <v>251</v>
      </c>
      <c r="C205" cm="1">
        <f t="array" ref="C205">TREND($B$2:$B$421, $A$2:$A$421, A205)</f>
        <v>359.66857412213903</v>
      </c>
      <c r="D205">
        <f t="shared" si="12"/>
        <v>-108.66857412213903</v>
      </c>
      <c r="E205">
        <f t="shared" si="13"/>
        <v>-0.76713742111085048</v>
      </c>
      <c r="G205" s="7">
        <v>1997.9166666666665</v>
      </c>
      <c r="H205">
        <v>0.99741694994528429</v>
      </c>
      <c r="I205" cm="1">
        <f t="array" ref="I205">TREND($H$2:$H$421, $A$2:$A$421, A205)</f>
        <v>1.0112789667205551</v>
      </c>
      <c r="J205">
        <f t="shared" si="14"/>
        <v>-1.3862016775270769E-2</v>
      </c>
      <c r="K205">
        <f t="shared" si="15"/>
        <v>-0.50690442761650267</v>
      </c>
    </row>
    <row r="206" spans="1:11" x14ac:dyDescent="0.35">
      <c r="A206" s="1">
        <v>1998.0000000007301</v>
      </c>
      <c r="B206">
        <v>143.4</v>
      </c>
      <c r="C206" cm="1">
        <f t="array" ref="C206">TREND($B$2:$B$421, $A$2:$A$421, A206)</f>
        <v>360.03840887257866</v>
      </c>
      <c r="D206">
        <f t="shared" si="12"/>
        <v>-216.63840887257865</v>
      </c>
      <c r="E206">
        <f t="shared" si="13"/>
        <v>-1.5293421454971385</v>
      </c>
      <c r="G206" s="7">
        <v>1998</v>
      </c>
      <c r="H206">
        <v>0.98709496118835682</v>
      </c>
      <c r="I206" cm="1">
        <f t="array" ref="I206">TREND($H$2:$H$421, $A$2:$A$421, A206)</f>
        <v>1.0111699920112684</v>
      </c>
      <c r="J206">
        <f t="shared" si="14"/>
        <v>-2.4075030822911625E-2</v>
      </c>
      <c r="K206">
        <f t="shared" si="15"/>
        <v>-0.88037259779604993</v>
      </c>
    </row>
    <row r="207" spans="1:11" x14ac:dyDescent="0.35">
      <c r="A207" s="1">
        <v>1998.0833333340599</v>
      </c>
      <c r="B207">
        <v>135.80000000000001</v>
      </c>
      <c r="C207" cm="1">
        <f t="array" ref="C207">TREND($B$2:$B$421, $A$2:$A$421, A207)</f>
        <v>360.40824362301828</v>
      </c>
      <c r="D207">
        <f t="shared" si="12"/>
        <v>-224.60824362301827</v>
      </c>
      <c r="E207">
        <f t="shared" si="13"/>
        <v>-1.5856045794760731</v>
      </c>
      <c r="G207" s="7">
        <v>1998.0833333333333</v>
      </c>
      <c r="H207">
        <v>0.9730046155381854</v>
      </c>
      <c r="I207" cm="1">
        <f t="array" ref="I207">TREND($H$2:$H$421, $A$2:$A$421, A207)</f>
        <v>1.0110610173019827</v>
      </c>
      <c r="J207">
        <f t="shared" si="14"/>
        <v>-3.8056401763797321E-2</v>
      </c>
      <c r="K207">
        <f t="shared" si="15"/>
        <v>-1.3916415530267765</v>
      </c>
    </row>
    <row r="208" spans="1:11" x14ac:dyDescent="0.35">
      <c r="A208" s="1">
        <v>1998.16666666739</v>
      </c>
      <c r="B208">
        <v>142.1</v>
      </c>
      <c r="C208" cm="1">
        <f t="array" ref="C208">TREND($B$2:$B$421, $A$2:$A$421, A208)</f>
        <v>360.77807837345972</v>
      </c>
      <c r="D208">
        <f t="shared" si="12"/>
        <v>-218.67807837345973</v>
      </c>
      <c r="E208">
        <f t="shared" si="13"/>
        <v>-1.5437410350883987</v>
      </c>
      <c r="G208" s="7">
        <v>1998.1666666666665</v>
      </c>
      <c r="H208">
        <v>0.96372849404962491</v>
      </c>
      <c r="I208" cm="1">
        <f t="array" ref="I208">TREND($H$2:$H$421, $A$2:$A$421, A208)</f>
        <v>1.0109520425926961</v>
      </c>
      <c r="J208">
        <f t="shared" si="14"/>
        <v>-4.7223548543071203E-2</v>
      </c>
      <c r="K208">
        <f t="shared" si="15"/>
        <v>-1.7268645848812745</v>
      </c>
    </row>
    <row r="209" spans="1:11" x14ac:dyDescent="0.35">
      <c r="A209" s="1">
        <v>1998.2500000007201</v>
      </c>
      <c r="B209">
        <v>204.5</v>
      </c>
      <c r="C209" cm="1">
        <f t="array" ref="C209">TREND($B$2:$B$421, $A$2:$A$421, A209)</f>
        <v>361.14791312389934</v>
      </c>
      <c r="D209">
        <f t="shared" si="12"/>
        <v>-156.64791312389934</v>
      </c>
      <c r="E209">
        <f t="shared" si="13"/>
        <v>-1.1058438657821859</v>
      </c>
      <c r="G209" s="7">
        <v>1998.25</v>
      </c>
      <c r="H209">
        <v>0.96319691876956315</v>
      </c>
      <c r="I209" cm="1">
        <f t="array" ref="I209">TREND($H$2:$H$421, $A$2:$A$421, A209)</f>
        <v>1.0108430678834099</v>
      </c>
      <c r="J209">
        <f t="shared" si="14"/>
        <v>-4.7646149113846792E-2</v>
      </c>
      <c r="K209">
        <f t="shared" si="15"/>
        <v>-1.7423181876226561</v>
      </c>
    </row>
    <row r="210" spans="1:11" x14ac:dyDescent="0.35">
      <c r="A210" s="1">
        <v>1998.3333333340499</v>
      </c>
      <c r="B210">
        <v>319</v>
      </c>
      <c r="C210" cm="1">
        <f t="array" ref="C210">TREND($B$2:$B$421, $A$2:$A$421, A210)</f>
        <v>361.51774787433897</v>
      </c>
      <c r="D210">
        <f t="shared" si="12"/>
        <v>-42.517747874338966</v>
      </c>
      <c r="E210">
        <f t="shared" si="13"/>
        <v>-0.30015076317374195</v>
      </c>
      <c r="G210" s="7">
        <v>1998.3333333333333</v>
      </c>
      <c r="H210">
        <v>0.96993835224248115</v>
      </c>
      <c r="I210" cm="1">
        <f t="array" ref="I210">TREND($H$2:$H$421, $A$2:$A$421, A210)</f>
        <v>1.0107340931741242</v>
      </c>
      <c r="J210">
        <f t="shared" si="14"/>
        <v>-4.0795740931643065E-2</v>
      </c>
      <c r="K210">
        <f t="shared" si="15"/>
        <v>-1.4918133516500081</v>
      </c>
    </row>
    <row r="211" spans="1:11" x14ac:dyDescent="0.35">
      <c r="A211" s="1">
        <v>1998.41666666738</v>
      </c>
      <c r="B211">
        <v>402.8</v>
      </c>
      <c r="C211" cm="1">
        <f t="array" ref="C211">TREND($B$2:$B$421, $A$2:$A$421, A211)</f>
        <v>361.88758262478041</v>
      </c>
      <c r="D211">
        <f t="shared" si="12"/>
        <v>40.912417375219604</v>
      </c>
      <c r="E211">
        <f t="shared" si="13"/>
        <v>0.28881805627963164</v>
      </c>
      <c r="G211" s="7">
        <v>1998.4166666666665</v>
      </c>
      <c r="H211">
        <v>0.97386393451256259</v>
      </c>
      <c r="I211" cm="1">
        <f t="array" ref="I211">TREND($H$2:$H$421, $A$2:$A$421, A211)</f>
        <v>1.0106251184648376</v>
      </c>
      <c r="J211">
        <f t="shared" si="14"/>
        <v>-3.6761183952275012E-2</v>
      </c>
      <c r="K211">
        <f t="shared" si="15"/>
        <v>-1.3442781964508663</v>
      </c>
    </row>
    <row r="212" spans="1:11" x14ac:dyDescent="0.35">
      <c r="A212" s="1">
        <v>1998.5000000007101</v>
      </c>
      <c r="B212">
        <v>449.2</v>
      </c>
      <c r="C212" cm="1">
        <f t="array" ref="C212">TREND($B$2:$B$421, $A$2:$A$421, A212)</f>
        <v>362.25741737522003</v>
      </c>
      <c r="D212">
        <f t="shared" si="12"/>
        <v>86.942582624779959</v>
      </c>
      <c r="E212">
        <f t="shared" si="13"/>
        <v>0.61376445912066768</v>
      </c>
      <c r="G212" s="7">
        <v>1998.5</v>
      </c>
      <c r="H212">
        <v>0.98554697895417287</v>
      </c>
      <c r="I212" cm="1">
        <f t="array" ref="I212">TREND($H$2:$H$421, $A$2:$A$421, A212)</f>
        <v>1.0105161437555514</v>
      </c>
      <c r="J212">
        <f t="shared" si="14"/>
        <v>-2.4969164801378563E-2</v>
      </c>
      <c r="K212">
        <f t="shared" si="15"/>
        <v>-0.91306917289872902</v>
      </c>
    </row>
    <row r="213" spans="1:11" x14ac:dyDescent="0.35">
      <c r="A213" s="1">
        <v>1998.5833333340399</v>
      </c>
      <c r="B213">
        <v>465</v>
      </c>
      <c r="C213" cm="1">
        <f t="array" ref="C213">TREND($B$2:$B$421, $A$2:$A$421, A213)</f>
        <v>362.62725212565965</v>
      </c>
      <c r="D213">
        <f t="shared" si="12"/>
        <v>102.37274787434035</v>
      </c>
      <c r="E213">
        <f t="shared" si="13"/>
        <v>0.72269252109705384</v>
      </c>
      <c r="G213" s="7">
        <v>1998.5833333333333</v>
      </c>
      <c r="H213">
        <v>0.99880592064506823</v>
      </c>
      <c r="I213" cm="1">
        <f t="array" ref="I213">TREND($H$2:$H$421, $A$2:$A$421, A213)</f>
        <v>1.0104071690462653</v>
      </c>
      <c r="J213">
        <f t="shared" si="14"/>
        <v>-1.1601248401197028E-2</v>
      </c>
      <c r="K213">
        <f t="shared" si="15"/>
        <v>-0.42423294357402802</v>
      </c>
    </row>
    <row r="214" spans="1:11" x14ac:dyDescent="0.35">
      <c r="A214" s="1">
        <v>1998.66666666737</v>
      </c>
      <c r="B214">
        <v>477.7</v>
      </c>
      <c r="C214" cm="1">
        <f t="array" ref="C214">TREND($B$2:$B$421, $A$2:$A$421, A214)</f>
        <v>362.99708687610109</v>
      </c>
      <c r="D214">
        <f t="shared" si="12"/>
        <v>114.7029131238989</v>
      </c>
      <c r="E214">
        <f t="shared" si="13"/>
        <v>0.80973637207079896</v>
      </c>
      <c r="G214" s="7">
        <v>1998.6666666666665</v>
      </c>
      <c r="H214">
        <v>1.0159332378528534</v>
      </c>
      <c r="I214" cm="1">
        <f t="array" ref="I214">TREND($H$2:$H$421, $A$2:$A$421, A214)</f>
        <v>1.0102981943369791</v>
      </c>
      <c r="J214">
        <f t="shared" si="14"/>
        <v>5.635043515874294E-3</v>
      </c>
      <c r="K214">
        <f t="shared" si="15"/>
        <v>0.20606153883061551</v>
      </c>
    </row>
    <row r="215" spans="1:11" x14ac:dyDescent="0.35">
      <c r="A215" s="1">
        <v>1998.7500000007001</v>
      </c>
      <c r="B215">
        <v>499.5</v>
      </c>
      <c r="C215" cm="1">
        <f t="array" ref="C215">TREND($B$2:$B$421, $A$2:$A$421, A215)</f>
        <v>363.36692162654072</v>
      </c>
      <c r="D215">
        <f t="shared" si="12"/>
        <v>136.13307837345928</v>
      </c>
      <c r="E215">
        <f t="shared" si="13"/>
        <v>0.96102097147162635</v>
      </c>
      <c r="G215" s="7">
        <v>1998.75</v>
      </c>
      <c r="H215">
        <v>1.0352674378225772</v>
      </c>
      <c r="I215" cm="1">
        <f t="array" ref="I215">TREND($H$2:$H$421, $A$2:$A$421, A215)</f>
        <v>1.0101892196276929</v>
      </c>
      <c r="J215">
        <f t="shared" si="14"/>
        <v>2.5078218194884316E-2</v>
      </c>
      <c r="K215">
        <f t="shared" si="15"/>
        <v>0.91705702321737392</v>
      </c>
    </row>
    <row r="216" spans="1:11" x14ac:dyDescent="0.35">
      <c r="A216" s="1">
        <v>1998.8333333340299</v>
      </c>
      <c r="B216">
        <v>521.29999999999995</v>
      </c>
      <c r="C216" cm="1">
        <f t="array" ref="C216">TREND($B$2:$B$421, $A$2:$A$421, A216)</f>
        <v>363.73675637698034</v>
      </c>
      <c r="D216">
        <f t="shared" si="12"/>
        <v>157.56324362301962</v>
      </c>
      <c r="E216">
        <f t="shared" si="13"/>
        <v>1.1123055708724532</v>
      </c>
      <c r="G216" s="7">
        <v>1998.8333333333333</v>
      </c>
      <c r="H216">
        <v>1.0567161761777808</v>
      </c>
      <c r="I216" cm="1">
        <f t="array" ref="I216">TREND($H$2:$H$421, $A$2:$A$421, A216)</f>
        <v>1.0100802449184068</v>
      </c>
      <c r="J216">
        <f t="shared" si="14"/>
        <v>4.6635931259374042E-2</v>
      </c>
      <c r="K216">
        <f t="shared" si="15"/>
        <v>1.7053766724310608</v>
      </c>
    </row>
    <row r="217" spans="1:11" x14ac:dyDescent="0.35">
      <c r="A217" s="1">
        <v>1998.91666666736</v>
      </c>
      <c r="B217">
        <v>539.79999999999995</v>
      </c>
      <c r="C217" cm="1">
        <f t="array" ref="C217">TREND($B$2:$B$421, $A$2:$A$421, A217)</f>
        <v>364.10659112742178</v>
      </c>
      <c r="D217">
        <f t="shared" si="12"/>
        <v>175.69340887257817</v>
      </c>
      <c r="E217">
        <f t="shared" si="13"/>
        <v>1.240294074689825</v>
      </c>
      <c r="G217" s="7">
        <v>1998.9166666666665</v>
      </c>
      <c r="H217">
        <v>1.0747646062509566</v>
      </c>
      <c r="I217" cm="1">
        <f t="array" ref="I217">TREND($H$2:$H$421, $A$2:$A$421, A217)</f>
        <v>1.0099712702091206</v>
      </c>
      <c r="J217">
        <f t="shared" si="14"/>
        <v>6.4793336041836014E-2</v>
      </c>
      <c r="K217">
        <f t="shared" si="15"/>
        <v>2.3693542903686224</v>
      </c>
    </row>
    <row r="218" spans="1:11" x14ac:dyDescent="0.35">
      <c r="A218" s="1">
        <v>1999.0000000006901</v>
      </c>
      <c r="B218">
        <v>534.20000000000005</v>
      </c>
      <c r="C218" cm="1">
        <f t="array" ref="C218">TREND($B$2:$B$421, $A$2:$A$421, A218)</f>
        <v>364.4764258778614</v>
      </c>
      <c r="D218">
        <f t="shared" si="12"/>
        <v>169.72357412213864</v>
      </c>
      <c r="E218">
        <f t="shared" si="13"/>
        <v>1.198150486519038</v>
      </c>
      <c r="G218" s="7">
        <v>1999</v>
      </c>
      <c r="H218">
        <v>1.0632823676286174</v>
      </c>
      <c r="I218" cm="1">
        <f t="array" ref="I218">TREND($H$2:$H$421, $A$2:$A$421, A218)</f>
        <v>1.0098622954998344</v>
      </c>
      <c r="J218">
        <f t="shared" si="14"/>
        <v>5.3420072128782969E-2</v>
      </c>
      <c r="K218">
        <f t="shared" si="15"/>
        <v>1.9534582539230296</v>
      </c>
    </row>
    <row r="219" spans="1:11" x14ac:dyDescent="0.35">
      <c r="A219" s="1">
        <v>1999.0833333340199</v>
      </c>
      <c r="B219">
        <v>465.3</v>
      </c>
      <c r="C219" cm="1">
        <f t="array" ref="C219">TREND($B$2:$B$421, $A$2:$A$421, A219)</f>
        <v>364.84626062830102</v>
      </c>
      <c r="D219">
        <f t="shared" si="12"/>
        <v>100.45373937169899</v>
      </c>
      <c r="E219">
        <f t="shared" si="13"/>
        <v>0.70914542852039553</v>
      </c>
      <c r="G219" s="7">
        <v>1999.0833333333333</v>
      </c>
      <c r="H219">
        <v>1.0153671865778646</v>
      </c>
      <c r="I219" cm="1">
        <f t="array" ref="I219">TREND($H$2:$H$421, $A$2:$A$421, A219)</f>
        <v>1.0097533207905482</v>
      </c>
      <c r="J219">
        <f t="shared" si="14"/>
        <v>5.6138657873163744E-3</v>
      </c>
      <c r="K219">
        <f t="shared" si="15"/>
        <v>0.2052871144054467</v>
      </c>
    </row>
    <row r="220" spans="1:11" x14ac:dyDescent="0.35">
      <c r="A220" s="1">
        <v>1999.16666666735</v>
      </c>
      <c r="B220">
        <v>463.5</v>
      </c>
      <c r="C220" cm="1">
        <f t="array" ref="C220">TREND($B$2:$B$421, $A$2:$A$421, A220)</f>
        <v>365.21609537874247</v>
      </c>
      <c r="D220">
        <f t="shared" si="12"/>
        <v>98.283904621257534</v>
      </c>
      <c r="E220">
        <f t="shared" si="13"/>
        <v>0.69382764738507452</v>
      </c>
      <c r="G220" s="7">
        <v>1999.1666666666665</v>
      </c>
      <c r="H220">
        <v>0.98702466194955085</v>
      </c>
      <c r="I220" cm="1">
        <f t="array" ref="I220">TREND($H$2:$H$421, $A$2:$A$421, A220)</f>
        <v>1.0096443460812621</v>
      </c>
      <c r="J220">
        <f t="shared" si="14"/>
        <v>-2.2619684131711226E-2</v>
      </c>
      <c r="K220">
        <f t="shared" si="15"/>
        <v>-0.82715366916204658</v>
      </c>
    </row>
    <row r="221" spans="1:11" x14ac:dyDescent="0.35">
      <c r="A221" s="1">
        <v>1999.2500000006801</v>
      </c>
      <c r="B221">
        <v>471.8</v>
      </c>
      <c r="C221" cm="1">
        <f t="array" ref="C221">TREND($B$2:$B$421, $A$2:$A$421, A221)</f>
        <v>365.58593012918209</v>
      </c>
      <c r="D221">
        <f t="shared" si="12"/>
        <v>106.21406987081792</v>
      </c>
      <c r="E221">
        <f t="shared" si="13"/>
        <v>0.74981003758090914</v>
      </c>
      <c r="G221" s="7">
        <v>1999.25</v>
      </c>
      <c r="H221">
        <v>0.98349463656532543</v>
      </c>
      <c r="I221" cm="1">
        <f t="array" ref="I221">TREND($H$2:$H$421, $A$2:$A$421, A221)</f>
        <v>1.0095353713719759</v>
      </c>
      <c r="J221">
        <f t="shared" si="14"/>
        <v>-2.6040734806650478E-2</v>
      </c>
      <c r="K221">
        <f t="shared" si="15"/>
        <v>-0.95225420556600837</v>
      </c>
    </row>
    <row r="222" spans="1:11" x14ac:dyDescent="0.35">
      <c r="A222" s="1">
        <v>1999.3333333340099</v>
      </c>
      <c r="B222">
        <v>513.1</v>
      </c>
      <c r="C222" cm="1">
        <f t="array" ref="C222">TREND($B$2:$B$421, $A$2:$A$421, A222)</f>
        <v>365.95576487962171</v>
      </c>
      <c r="D222">
        <f t="shared" si="12"/>
        <v>147.14423512037831</v>
      </c>
      <c r="E222">
        <f t="shared" si="13"/>
        <v>1.0387533836111704</v>
      </c>
      <c r="G222" s="7">
        <v>1999.3333333333333</v>
      </c>
      <c r="H222">
        <v>0.99683746041154309</v>
      </c>
      <c r="I222" cm="1">
        <f t="array" ref="I222">TREND($H$2:$H$421, $A$2:$A$421, A222)</f>
        <v>1.0094263966626897</v>
      </c>
      <c r="J222">
        <f t="shared" si="14"/>
        <v>-1.2588936251146654E-2</v>
      </c>
      <c r="K222">
        <f t="shared" si="15"/>
        <v>-0.46035058448870636</v>
      </c>
    </row>
    <row r="223" spans="1:11" x14ac:dyDescent="0.35">
      <c r="A223" s="1">
        <v>1999.41666666734</v>
      </c>
      <c r="B223">
        <v>533.29999999999995</v>
      </c>
      <c r="C223" cm="1">
        <f t="array" ref="C223">TREND($B$2:$B$421, $A$2:$A$421, A223)</f>
        <v>366.32559963006315</v>
      </c>
      <c r="D223">
        <f t="shared" si="12"/>
        <v>166.9744003699368</v>
      </c>
      <c r="E223">
        <f t="shared" si="13"/>
        <v>1.1787429063654666</v>
      </c>
      <c r="G223" s="7">
        <v>1999.4166666666665</v>
      </c>
      <c r="H223">
        <v>1.0122843185522115</v>
      </c>
      <c r="I223" cm="1">
        <f t="array" ref="I223">TREND($H$2:$H$421, $A$2:$A$421, A223)</f>
        <v>1.0093174219534036</v>
      </c>
      <c r="J223">
        <f t="shared" si="14"/>
        <v>2.9668965988078888E-3</v>
      </c>
      <c r="K223">
        <f t="shared" si="15"/>
        <v>0.10849308918012586</v>
      </c>
    </row>
    <row r="224" spans="1:11" x14ac:dyDescent="0.35">
      <c r="A224" s="1">
        <v>1999.5000000006701</v>
      </c>
      <c r="B224">
        <v>548.6</v>
      </c>
      <c r="C224" cm="1">
        <f t="array" ref="C224">TREND($B$2:$B$421, $A$2:$A$421, A224)</f>
        <v>366.69543438050459</v>
      </c>
      <c r="D224">
        <f t="shared" si="12"/>
        <v>181.90456561949543</v>
      </c>
      <c r="E224">
        <f t="shared" si="13"/>
        <v>1.2841412568898036</v>
      </c>
      <c r="G224" s="7">
        <v>1999.5</v>
      </c>
      <c r="H224">
        <v>1.0318775126143742</v>
      </c>
      <c r="I224" cm="1">
        <f t="array" ref="I224">TREND($H$2:$H$421, $A$2:$A$421, A224)</f>
        <v>1.009208447244117</v>
      </c>
      <c r="J224">
        <f t="shared" si="14"/>
        <v>2.2669065370257258E-2</v>
      </c>
      <c r="K224">
        <f t="shared" si="15"/>
        <v>0.82895943587446896</v>
      </c>
    </row>
    <row r="225" spans="1:11" x14ac:dyDescent="0.35">
      <c r="A225" s="1">
        <v>1999.5833333339999</v>
      </c>
      <c r="B225">
        <v>548.9</v>
      </c>
      <c r="C225" cm="1">
        <f t="array" ref="C225">TREND($B$2:$B$421, $A$2:$A$421, A225)</f>
        <v>367.06526913094422</v>
      </c>
      <c r="D225">
        <f t="shared" si="12"/>
        <v>181.83473086905576</v>
      </c>
      <c r="E225">
        <f t="shared" si="13"/>
        <v>1.2836482638530495</v>
      </c>
      <c r="G225" s="7">
        <v>1999.5833333333333</v>
      </c>
      <c r="H225">
        <v>1.0394334417770925</v>
      </c>
      <c r="I225" cm="1">
        <f t="array" ref="I225">TREND($H$2:$H$421, $A$2:$A$421, A225)</f>
        <v>1.0090994725348312</v>
      </c>
      <c r="J225">
        <f t="shared" si="14"/>
        <v>3.0333969242261283E-2</v>
      </c>
      <c r="K225">
        <f t="shared" si="15"/>
        <v>1.10924864436143</v>
      </c>
    </row>
    <row r="226" spans="1:11" x14ac:dyDescent="0.35">
      <c r="A226" s="1">
        <v>1999.66666666733</v>
      </c>
      <c r="B226">
        <v>552.9</v>
      </c>
      <c r="C226" cm="1">
        <f t="array" ref="C226">TREND($B$2:$B$421, $A$2:$A$421, A226)</f>
        <v>367.43510388138384</v>
      </c>
      <c r="D226">
        <f t="shared" si="12"/>
        <v>185.46489611861614</v>
      </c>
      <c r="E226">
        <f t="shared" si="13"/>
        <v>1.3092751355613679</v>
      </c>
      <c r="G226" s="7">
        <v>1999.6666666666665</v>
      </c>
      <c r="H226">
        <v>1.0428504771437039</v>
      </c>
      <c r="I226" cm="1">
        <f t="array" ref="I226">TREND($H$2:$H$421, $A$2:$A$421, A226)</f>
        <v>1.0089904978255451</v>
      </c>
      <c r="J226">
        <f t="shared" si="14"/>
        <v>3.3859979318158873E-2</v>
      </c>
      <c r="K226">
        <f t="shared" si="15"/>
        <v>1.2381873224967357</v>
      </c>
    </row>
    <row r="227" spans="1:11" x14ac:dyDescent="0.35">
      <c r="A227" s="1">
        <v>1999.7500000006601</v>
      </c>
      <c r="B227">
        <v>572.79999999999995</v>
      </c>
      <c r="C227" cm="1">
        <f t="array" ref="C227">TREND($B$2:$B$421, $A$2:$A$421, A227)</f>
        <v>367.80493863182528</v>
      </c>
      <c r="D227">
        <f t="shared" si="12"/>
        <v>204.99506136817467</v>
      </c>
      <c r="E227">
        <f t="shared" si="13"/>
        <v>1.4471468314444424</v>
      </c>
      <c r="G227" s="7">
        <v>1999.75</v>
      </c>
      <c r="H227">
        <v>1.0473602280926966</v>
      </c>
      <c r="I227" cm="1">
        <f t="array" ref="I227">TREND($H$2:$H$421, $A$2:$A$421, A227)</f>
        <v>1.0088815231162584</v>
      </c>
      <c r="J227">
        <f t="shared" si="14"/>
        <v>3.8478704976438127E-2</v>
      </c>
      <c r="K227">
        <f t="shared" si="15"/>
        <v>1.407084282014512</v>
      </c>
    </row>
    <row r="228" spans="1:11" x14ac:dyDescent="0.35">
      <c r="A228" s="1">
        <v>1999.8333333339899</v>
      </c>
      <c r="B228">
        <v>620.9</v>
      </c>
      <c r="C228" cm="1">
        <f t="array" ref="C228">TREND($B$2:$B$421, $A$2:$A$421, A228)</f>
        <v>368.1747733822649</v>
      </c>
      <c r="D228">
        <f t="shared" si="12"/>
        <v>252.72522661773507</v>
      </c>
      <c r="E228">
        <f t="shared" si="13"/>
        <v>1.7840942532224038</v>
      </c>
      <c r="G228" s="7">
        <v>1999.8333333333333</v>
      </c>
      <c r="H228">
        <v>1.0525251096590618</v>
      </c>
      <c r="I228" cm="1">
        <f t="array" ref="I228">TREND($H$2:$H$421, $A$2:$A$421, A228)</f>
        <v>1.0087725484069727</v>
      </c>
      <c r="J228">
        <f t="shared" si="14"/>
        <v>4.3752561252089039E-2</v>
      </c>
      <c r="K228">
        <f t="shared" si="15"/>
        <v>1.5999379727927243</v>
      </c>
    </row>
    <row r="229" spans="1:11" x14ac:dyDescent="0.35">
      <c r="A229" s="1">
        <v>1999.91666666732</v>
      </c>
      <c r="B229">
        <v>628.70000000000005</v>
      </c>
      <c r="C229" cm="1">
        <f t="array" ref="C229">TREND($B$2:$B$421, $A$2:$A$421, A229)</f>
        <v>368.54460813270452</v>
      </c>
      <c r="D229">
        <f t="shared" si="12"/>
        <v>260.15539186729552</v>
      </c>
      <c r="E229">
        <f t="shared" si="13"/>
        <v>1.836546931966202</v>
      </c>
      <c r="G229" s="7">
        <v>1999.9166666666665</v>
      </c>
      <c r="H229">
        <v>1.0629757904292361</v>
      </c>
      <c r="I229" cm="1">
        <f t="array" ref="I229">TREND($H$2:$H$421, $A$2:$A$421, A229)</f>
        <v>1.0086635736976861</v>
      </c>
      <c r="J229">
        <f t="shared" si="14"/>
        <v>5.4312216731549956E-2</v>
      </c>
      <c r="K229">
        <f t="shared" si="15"/>
        <v>1.9860820817936971</v>
      </c>
    </row>
    <row r="230" spans="1:11" x14ac:dyDescent="0.35">
      <c r="A230" s="1">
        <v>2000.0000000006601</v>
      </c>
      <c r="B230">
        <v>592</v>
      </c>
      <c r="C230" cm="1">
        <f t="array" ref="C230">TREND($B$2:$B$421, $A$2:$A$421, A230)</f>
        <v>368.91444288318962</v>
      </c>
      <c r="D230">
        <f t="shared" si="12"/>
        <v>223.08555711681038</v>
      </c>
      <c r="E230">
        <f t="shared" si="13"/>
        <v>1.5748552914784062</v>
      </c>
      <c r="G230" s="7">
        <v>2000</v>
      </c>
      <c r="H230">
        <v>1.0439525090012853</v>
      </c>
      <c r="I230" cm="1">
        <f t="array" ref="I230">TREND($H$2:$H$421, $A$2:$A$421, A230)</f>
        <v>1.0085545989883871</v>
      </c>
      <c r="J230">
        <f t="shared" si="14"/>
        <v>3.539791001289827E-2</v>
      </c>
      <c r="K230">
        <f t="shared" si="15"/>
        <v>1.2944261722376658</v>
      </c>
    </row>
    <row r="231" spans="1:11" x14ac:dyDescent="0.35">
      <c r="A231" s="1">
        <v>2000.0833333339899</v>
      </c>
      <c r="B231">
        <v>477</v>
      </c>
      <c r="C231" cm="1">
        <f t="array" ref="C231">TREND($B$2:$B$421, $A$2:$A$421, A231)</f>
        <v>369.28427763362924</v>
      </c>
      <c r="D231">
        <f t="shared" si="12"/>
        <v>107.71572236637076</v>
      </c>
      <c r="E231">
        <f t="shared" si="13"/>
        <v>0.76041083760197392</v>
      </c>
      <c r="G231" s="7">
        <v>2000.0833333333333</v>
      </c>
      <c r="H231">
        <v>1.0079153006907324</v>
      </c>
      <c r="I231" cm="1">
        <f t="array" ref="I231">TREND($H$2:$H$421, $A$2:$A$421, A231)</f>
        <v>1.0084456242791009</v>
      </c>
      <c r="J231">
        <f t="shared" si="14"/>
        <v>-5.3032358836846427E-4</v>
      </c>
      <c r="K231">
        <f t="shared" si="15"/>
        <v>-1.9392804046607499E-2</v>
      </c>
    </row>
    <row r="232" spans="1:11" x14ac:dyDescent="0.35">
      <c r="A232" s="1">
        <v>2000.16666666732</v>
      </c>
      <c r="B232">
        <v>395.6</v>
      </c>
      <c r="C232" cm="1">
        <f t="array" ref="C232">TREND($B$2:$B$421, $A$2:$A$421, A232)</f>
        <v>369.65411238407069</v>
      </c>
      <c r="D232">
        <f t="shared" si="12"/>
        <v>25.945887615929337</v>
      </c>
      <c r="E232">
        <f t="shared" si="13"/>
        <v>0.1831629933023998</v>
      </c>
      <c r="G232" s="7">
        <v>2000.1666666666665</v>
      </c>
      <c r="H232">
        <v>0.96902341512139911</v>
      </c>
      <c r="I232" cm="1">
        <f t="array" ref="I232">TREND($H$2:$H$421, $A$2:$A$421, A232)</f>
        <v>1.0083366495698147</v>
      </c>
      <c r="J232">
        <f t="shared" si="14"/>
        <v>-3.9313234448415613E-2</v>
      </c>
      <c r="K232">
        <f t="shared" si="15"/>
        <v>-1.437601247271461</v>
      </c>
    </row>
    <row r="233" spans="1:11" x14ac:dyDescent="0.35">
      <c r="A233" s="1">
        <v>2000.2500000006501</v>
      </c>
      <c r="B233">
        <v>361.7</v>
      </c>
      <c r="C233" cm="1">
        <f t="array" ref="C233">TREND($B$2:$B$421, $A$2:$A$421, A233)</f>
        <v>370.02394713451031</v>
      </c>
      <c r="D233">
        <f t="shared" si="12"/>
        <v>-8.3239471345103198</v>
      </c>
      <c r="E233">
        <f t="shared" si="13"/>
        <v>-5.876226305366903E-2</v>
      </c>
      <c r="G233" s="7">
        <v>2000.25</v>
      </c>
      <c r="H233">
        <v>0.96125608778402838</v>
      </c>
      <c r="I233" cm="1">
        <f t="array" ref="I233">TREND($H$2:$H$421, $A$2:$A$421, A233)</f>
        <v>1.0082276748605286</v>
      </c>
      <c r="J233">
        <f t="shared" si="14"/>
        <v>-4.6971587076500176E-2</v>
      </c>
      <c r="K233">
        <f t="shared" si="15"/>
        <v>-1.7176508907223234</v>
      </c>
    </row>
    <row r="234" spans="1:11" x14ac:dyDescent="0.35">
      <c r="A234" s="1">
        <v>2000.3333333339799</v>
      </c>
      <c r="B234">
        <v>421</v>
      </c>
      <c r="C234" cm="1">
        <f t="array" ref="C234">TREND($B$2:$B$421, $A$2:$A$421, A234)</f>
        <v>370.39378188494993</v>
      </c>
      <c r="D234">
        <f t="shared" si="12"/>
        <v>50.606218115050069</v>
      </c>
      <c r="E234">
        <f t="shared" si="13"/>
        <v>0.35725069524991582</v>
      </c>
      <c r="G234" s="7">
        <v>2000.3333333333333</v>
      </c>
      <c r="H234">
        <v>0.96955746538823173</v>
      </c>
      <c r="I234" cm="1">
        <f t="array" ref="I234">TREND($H$2:$H$421, $A$2:$A$421, A234)</f>
        <v>1.0081187001512424</v>
      </c>
      <c r="J234">
        <f t="shared" si="14"/>
        <v>-3.8561234763010654E-2</v>
      </c>
      <c r="K234">
        <f t="shared" si="15"/>
        <v>-1.4101022205224809</v>
      </c>
    </row>
    <row r="235" spans="1:11" x14ac:dyDescent="0.35">
      <c r="A235" s="1">
        <v>2000.41666666731</v>
      </c>
      <c r="B235">
        <v>513.29999999999995</v>
      </c>
      <c r="C235" cm="1">
        <f t="array" ref="C235">TREND($B$2:$B$421, $A$2:$A$421, A235)</f>
        <v>370.76361663539137</v>
      </c>
      <c r="D235">
        <f t="shared" si="12"/>
        <v>142.53638336460858</v>
      </c>
      <c r="E235">
        <f t="shared" si="13"/>
        <v>1.0062246093879141</v>
      </c>
      <c r="G235" s="7">
        <v>2000.4166666666665</v>
      </c>
      <c r="H235">
        <v>0.98105939444607981</v>
      </c>
      <c r="I235" cm="1">
        <f t="array" ref="I235">TREND($H$2:$H$421, $A$2:$A$421, A235)</f>
        <v>1.0080097254419562</v>
      </c>
      <c r="J235">
        <f t="shared" si="14"/>
        <v>-2.6950330995876404E-2</v>
      </c>
      <c r="K235">
        <f t="shared" si="15"/>
        <v>-0.98551620078190305</v>
      </c>
    </row>
    <row r="236" spans="1:11" x14ac:dyDescent="0.35">
      <c r="A236" s="1">
        <v>2000.5000000006401</v>
      </c>
      <c r="B236">
        <v>573.20000000000005</v>
      </c>
      <c r="C236" cm="1">
        <f t="array" ref="C236">TREND($B$2:$B$421, $A$2:$A$421, A236)</f>
        <v>371.13345138583099</v>
      </c>
      <c r="D236">
        <f t="shared" si="12"/>
        <v>202.06654861416905</v>
      </c>
      <c r="E236">
        <f t="shared" si="13"/>
        <v>1.4264732214339435</v>
      </c>
      <c r="G236" s="7">
        <v>2000.5</v>
      </c>
      <c r="H236">
        <v>0.99469960270079161</v>
      </c>
      <c r="I236" cm="1">
        <f t="array" ref="I236">TREND($H$2:$H$421, $A$2:$A$421, A236)</f>
        <v>1.0079007507326696</v>
      </c>
      <c r="J236">
        <f t="shared" si="14"/>
        <v>-1.3201148031877996E-2</v>
      </c>
      <c r="K236">
        <f t="shared" si="15"/>
        <v>-0.48273786530958329</v>
      </c>
    </row>
    <row r="237" spans="1:11" x14ac:dyDescent="0.35">
      <c r="A237" s="1">
        <v>2000.5833333339699</v>
      </c>
      <c r="B237">
        <v>558.29999999999995</v>
      </c>
      <c r="C237" cm="1">
        <f t="array" ref="C237">TREND($B$2:$B$421, $A$2:$A$421, A237)</f>
        <v>371.50328613627062</v>
      </c>
      <c r="D237">
        <f t="shared" si="12"/>
        <v>186.79671386372934</v>
      </c>
      <c r="E237">
        <f t="shared" si="13"/>
        <v>1.3186770002552715</v>
      </c>
      <c r="G237" s="7">
        <v>2000.5833333333333</v>
      </c>
      <c r="H237">
        <v>1.0122485154305261</v>
      </c>
      <c r="I237" cm="1">
        <f t="array" ref="I237">TREND($H$2:$H$421, $A$2:$A$421, A237)</f>
        <v>1.0077917760233839</v>
      </c>
      <c r="J237">
        <f t="shared" si="14"/>
        <v>4.4567394071421962E-3</v>
      </c>
      <c r="K237">
        <f t="shared" si="15"/>
        <v>0.16297346734158533</v>
      </c>
    </row>
    <row r="238" spans="1:11" x14ac:dyDescent="0.35">
      <c r="A238" s="1">
        <v>2000.6666666673</v>
      </c>
      <c r="B238">
        <v>525.9</v>
      </c>
      <c r="C238" cm="1">
        <f t="array" ref="C238">TREND($B$2:$B$421, $A$2:$A$421, A238)</f>
        <v>371.87312088671206</v>
      </c>
      <c r="D238">
        <f t="shared" si="12"/>
        <v>154.02687911328792</v>
      </c>
      <c r="E238">
        <f t="shared" si="13"/>
        <v>1.0873408782553005</v>
      </c>
      <c r="G238" s="7">
        <v>2000.6666666666665</v>
      </c>
      <c r="H238">
        <v>1.0239740567631435</v>
      </c>
      <c r="I238" cm="1">
        <f t="array" ref="I238">TREND($H$2:$H$421, $A$2:$A$421, A238)</f>
        <v>1.0076828013140977</v>
      </c>
      <c r="J238">
        <f t="shared" si="14"/>
        <v>1.629125544904575E-2</v>
      </c>
      <c r="K238">
        <f t="shared" si="15"/>
        <v>0.59573651168021213</v>
      </c>
    </row>
    <row r="239" spans="1:11" x14ac:dyDescent="0.35">
      <c r="A239" s="1">
        <v>2000.7500000006301</v>
      </c>
      <c r="B239">
        <v>571.9</v>
      </c>
      <c r="C239" cm="1">
        <f t="array" ref="C239">TREND($B$2:$B$421, $A$2:$A$421, A239)</f>
        <v>372.24295563715168</v>
      </c>
      <c r="D239">
        <f t="shared" si="12"/>
        <v>199.6570443628483</v>
      </c>
      <c r="E239">
        <f t="shared" si="13"/>
        <v>1.4094635119347074</v>
      </c>
      <c r="G239" s="7">
        <v>2000.75</v>
      </c>
      <c r="H239">
        <v>1.0306254131875621</v>
      </c>
      <c r="I239" cm="1">
        <f t="array" ref="I239">TREND($H$2:$H$421, $A$2:$A$421, A239)</f>
        <v>1.0075738266048111</v>
      </c>
      <c r="J239">
        <f t="shared" si="14"/>
        <v>2.3051586582750971E-2</v>
      </c>
      <c r="K239">
        <f t="shared" si="15"/>
        <v>0.84294742185182003</v>
      </c>
    </row>
    <row r="240" spans="1:11" x14ac:dyDescent="0.35">
      <c r="A240" s="1">
        <v>2000.8333333339599</v>
      </c>
      <c r="B240">
        <v>591.5</v>
      </c>
      <c r="C240" cm="1">
        <f t="array" ref="C240">TREND($B$2:$B$421, $A$2:$A$421, A240)</f>
        <v>372.6127903875913</v>
      </c>
      <c r="D240">
        <f t="shared" si="12"/>
        <v>218.8872096124087</v>
      </c>
      <c r="E240">
        <f t="shared" si="13"/>
        <v>1.545217380946573</v>
      </c>
      <c r="G240" s="7">
        <v>2000.8333333333333</v>
      </c>
      <c r="H240">
        <v>1.0349160776751887</v>
      </c>
      <c r="I240" cm="1">
        <f t="array" ref="I240">TREND($H$2:$H$421, $A$2:$A$421, A240)</f>
        <v>1.0074648518955254</v>
      </c>
      <c r="J240">
        <f t="shared" si="14"/>
        <v>2.7451225779663302E-2</v>
      </c>
      <c r="K240">
        <f t="shared" si="15"/>
        <v>1.0038328561277685</v>
      </c>
    </row>
    <row r="241" spans="1:11" x14ac:dyDescent="0.35">
      <c r="A241" s="1">
        <v>2000.91666666729</v>
      </c>
      <c r="B241">
        <v>559.9</v>
      </c>
      <c r="C241" cm="1">
        <f t="array" ref="C241">TREND($B$2:$B$421, $A$2:$A$421, A241)</f>
        <v>372.98262513803274</v>
      </c>
      <c r="D241">
        <f t="shared" si="12"/>
        <v>186.91737486196723</v>
      </c>
      <c r="E241">
        <f t="shared" si="13"/>
        <v>1.3195287972698604</v>
      </c>
      <c r="G241" s="7">
        <v>2000.9166666666665</v>
      </c>
      <c r="H241">
        <v>1.0382155202685184</v>
      </c>
      <c r="I241" cm="1">
        <f t="array" ref="I241">TREND($H$2:$H$421, $A$2:$A$421, A241)</f>
        <v>1.0073558771862388</v>
      </c>
      <c r="J241">
        <f t="shared" si="14"/>
        <v>3.085964308227962E-2</v>
      </c>
      <c r="K241">
        <f t="shared" si="15"/>
        <v>1.1284714170147443</v>
      </c>
    </row>
    <row r="242" spans="1:11" x14ac:dyDescent="0.35">
      <c r="A242" s="1">
        <v>2001.00000000062</v>
      </c>
      <c r="B242">
        <v>350.9</v>
      </c>
      <c r="C242" cm="1">
        <f t="array" ref="C242">TREND($B$2:$B$421, $A$2:$A$421, A242)</f>
        <v>373.35245988847237</v>
      </c>
      <c r="D242">
        <f t="shared" si="12"/>
        <v>-22.45245988847239</v>
      </c>
      <c r="E242">
        <f t="shared" si="13"/>
        <v>-0.15850140958948392</v>
      </c>
      <c r="G242" s="7">
        <v>2001</v>
      </c>
      <c r="H242">
        <v>1.0236901699899388</v>
      </c>
      <c r="I242" cm="1">
        <f t="array" ref="I242">TREND($H$2:$H$421, $A$2:$A$421, A242)</f>
        <v>1.0072469024769526</v>
      </c>
      <c r="J242">
        <f t="shared" si="14"/>
        <v>1.6443267512986193E-2</v>
      </c>
      <c r="K242">
        <f t="shared" si="15"/>
        <v>0.60129526907545605</v>
      </c>
    </row>
    <row r="243" spans="1:11" x14ac:dyDescent="0.35">
      <c r="A243" s="1">
        <v>2001.0833333339499</v>
      </c>
      <c r="B243">
        <v>187.5</v>
      </c>
      <c r="C243" cm="1">
        <f t="array" ref="C243">TREND($B$2:$B$421, $A$2:$A$421, A243)</f>
        <v>373.72229463891199</v>
      </c>
      <c r="D243">
        <f t="shared" si="12"/>
        <v>-186.22229463891199</v>
      </c>
      <c r="E243">
        <f t="shared" si="13"/>
        <v>-1.314621932023075</v>
      </c>
      <c r="G243" s="7">
        <v>2001.0833333333333</v>
      </c>
      <c r="H243">
        <v>0.99330494698970773</v>
      </c>
      <c r="I243" cm="1">
        <f t="array" ref="I243">TREND($H$2:$H$421, $A$2:$A$421, A243)</f>
        <v>1.0071379277676669</v>
      </c>
      <c r="J243">
        <f t="shared" si="14"/>
        <v>-1.3832980777959136E-2</v>
      </c>
      <c r="K243">
        <f t="shared" si="15"/>
        <v>-0.50584264304098658</v>
      </c>
    </row>
    <row r="244" spans="1:11" x14ac:dyDescent="0.35">
      <c r="A244" s="1">
        <v>2001.16666666728</v>
      </c>
      <c r="B244">
        <v>182.7</v>
      </c>
      <c r="C244" cm="1">
        <f t="array" ref="C244">TREND($B$2:$B$421, $A$2:$A$421, A244)</f>
        <v>374.09212938935343</v>
      </c>
      <c r="D244">
        <f t="shared" si="12"/>
        <v>-191.39212938935344</v>
      </c>
      <c r="E244">
        <f t="shared" si="13"/>
        <v>-1.3511179818706167</v>
      </c>
      <c r="G244" s="7">
        <v>2001.1666666666665</v>
      </c>
      <c r="H244">
        <v>0.96921925286718391</v>
      </c>
      <c r="I244" cm="1">
        <f t="array" ref="I244">TREND($H$2:$H$421, $A$2:$A$421, A244)</f>
        <v>1.0070289530583802</v>
      </c>
      <c r="J244">
        <f t="shared" si="14"/>
        <v>-3.7809700191196338E-2</v>
      </c>
      <c r="K244">
        <f t="shared" si="15"/>
        <v>-1.3826202019868268</v>
      </c>
    </row>
    <row r="245" spans="1:11" x14ac:dyDescent="0.35">
      <c r="A245" s="1">
        <v>2001.25000000061</v>
      </c>
      <c r="B245">
        <v>183.9</v>
      </c>
      <c r="C245" cm="1">
        <f t="array" ref="C245">TREND($B$2:$B$421, $A$2:$A$421, A245)</f>
        <v>374.46196413979305</v>
      </c>
      <c r="D245">
        <f t="shared" si="12"/>
        <v>-190.56196413979305</v>
      </c>
      <c r="E245">
        <f t="shared" si="13"/>
        <v>-1.3452574942937041</v>
      </c>
      <c r="G245" s="7">
        <v>2001.25</v>
      </c>
      <c r="H245">
        <v>0.96381724273250569</v>
      </c>
      <c r="I245" cm="1">
        <f t="array" ref="I245">TREND($H$2:$H$421, $A$2:$A$421, A245)</f>
        <v>1.0069199783490941</v>
      </c>
      <c r="J245">
        <f t="shared" si="14"/>
        <v>-4.3102735616588395E-2</v>
      </c>
      <c r="K245">
        <f t="shared" si="15"/>
        <v>-1.5761752334198167</v>
      </c>
    </row>
    <row r="246" spans="1:11" x14ac:dyDescent="0.35">
      <c r="A246" s="1">
        <v>2001.3333333339399</v>
      </c>
      <c r="B246">
        <v>223</v>
      </c>
      <c r="C246" cm="1">
        <f t="array" ref="C246">TREND($B$2:$B$421, $A$2:$A$421, A246)</f>
        <v>374.83179889023268</v>
      </c>
      <c r="D246">
        <f t="shared" si="12"/>
        <v>-151.83179889023268</v>
      </c>
      <c r="E246">
        <f t="shared" si="13"/>
        <v>-1.0718448786524049</v>
      </c>
      <c r="G246" s="7">
        <v>2001.3333333333333</v>
      </c>
      <c r="H246">
        <v>0.97014751804202981</v>
      </c>
      <c r="I246" cm="1">
        <f t="array" ref="I246">TREND($H$2:$H$421, $A$2:$A$421, A246)</f>
        <v>1.0068110036398079</v>
      </c>
      <c r="J246">
        <f t="shared" si="14"/>
        <v>-3.66634855977781E-2</v>
      </c>
      <c r="K246">
        <f t="shared" si="15"/>
        <v>-1.3407055757227138</v>
      </c>
    </row>
    <row r="247" spans="1:11" x14ac:dyDescent="0.35">
      <c r="A247" s="1">
        <v>2001.41666666727</v>
      </c>
      <c r="B247">
        <v>312</v>
      </c>
      <c r="C247" cm="1">
        <f t="array" ref="C247">TREND($B$2:$B$421, $A$2:$A$421, A247)</f>
        <v>375.20163364067412</v>
      </c>
      <c r="D247">
        <f t="shared" si="12"/>
        <v>-63.201633640674117</v>
      </c>
      <c r="E247">
        <f t="shared" si="13"/>
        <v>-0.4461670600978489</v>
      </c>
      <c r="G247" s="7">
        <v>2001.4166666666665</v>
      </c>
      <c r="H247">
        <v>0.9778507184105707</v>
      </c>
      <c r="I247" cm="1">
        <f t="array" ref="I247">TREND($H$2:$H$421, $A$2:$A$421, A247)</f>
        <v>1.0067020289305217</v>
      </c>
      <c r="J247">
        <f t="shared" si="14"/>
        <v>-2.8851310519951046E-2</v>
      </c>
      <c r="K247">
        <f t="shared" si="15"/>
        <v>-1.0550309729239171</v>
      </c>
    </row>
    <row r="248" spans="1:11" x14ac:dyDescent="0.35">
      <c r="A248" s="1">
        <v>2001.5000000006</v>
      </c>
      <c r="B248">
        <v>291.10000000000002</v>
      </c>
      <c r="C248" cm="1">
        <f t="array" ref="C248">TREND($B$2:$B$421, $A$2:$A$421, A248)</f>
        <v>375.57146839111374</v>
      </c>
      <c r="D248">
        <f t="shared" si="12"/>
        <v>-84.471468391113717</v>
      </c>
      <c r="E248">
        <f t="shared" si="13"/>
        <v>-0.5963198187009614</v>
      </c>
      <c r="G248" s="7">
        <v>2001.5</v>
      </c>
      <c r="H248">
        <v>0.98940945573589789</v>
      </c>
      <c r="I248" cm="1">
        <f t="array" ref="I248">TREND($H$2:$H$421, $A$2:$A$421, A248)</f>
        <v>1.0065930542212356</v>
      </c>
      <c r="J248">
        <f t="shared" si="14"/>
        <v>-1.7183598485337681E-2</v>
      </c>
      <c r="K248">
        <f t="shared" si="15"/>
        <v>-0.62836759584225188</v>
      </c>
    </row>
    <row r="249" spans="1:11" x14ac:dyDescent="0.35">
      <c r="A249" s="1">
        <v>2001.5833333339301</v>
      </c>
      <c r="B249">
        <v>260.3</v>
      </c>
      <c r="C249" cm="1">
        <f t="array" ref="C249">TREND($B$2:$B$421, $A$2:$A$421, A249)</f>
        <v>375.94130314155518</v>
      </c>
      <c r="D249">
        <f t="shared" si="12"/>
        <v>-115.64130314155517</v>
      </c>
      <c r="E249">
        <f t="shared" si="13"/>
        <v>-0.81636086405441488</v>
      </c>
      <c r="G249" s="7">
        <v>2001.5833333333333</v>
      </c>
      <c r="H249">
        <v>0.99937786404403783</v>
      </c>
      <c r="I249" cm="1">
        <f t="array" ref="I249">TREND($H$2:$H$421, $A$2:$A$421, A249)</f>
        <v>1.0064840795119494</v>
      </c>
      <c r="J249">
        <f t="shared" si="14"/>
        <v>-7.1062154679115697E-3</v>
      </c>
      <c r="K249">
        <f t="shared" si="15"/>
        <v>-0.25985916354591732</v>
      </c>
    </row>
    <row r="250" spans="1:11" x14ac:dyDescent="0.35">
      <c r="A250" s="1">
        <v>2001.66666666726</v>
      </c>
      <c r="B250">
        <v>274.10000000000002</v>
      </c>
      <c r="C250" cm="1">
        <f t="array" ref="C250">TREND($B$2:$B$421, $A$2:$A$421, A250)</f>
        <v>376.3111378919948</v>
      </c>
      <c r="D250">
        <f t="shared" si="12"/>
        <v>-102.21113789199478</v>
      </c>
      <c r="E250">
        <f t="shared" si="13"/>
        <v>-0.72155164788617587</v>
      </c>
      <c r="G250" s="7">
        <v>2001.6666666666665</v>
      </c>
      <c r="H250">
        <v>1.0076721854517352</v>
      </c>
      <c r="I250" cm="1">
        <f t="array" ref="I250">TREND($H$2:$H$421, $A$2:$A$421, A250)</f>
        <v>1.0063751048026632</v>
      </c>
      <c r="J250">
        <f t="shared" si="14"/>
        <v>1.2970806490719688E-3</v>
      </c>
      <c r="K250">
        <f t="shared" si="15"/>
        <v>4.7431476577277233E-2</v>
      </c>
    </row>
    <row r="251" spans="1:11" x14ac:dyDescent="0.35">
      <c r="A251" s="1">
        <v>2001.75000000059</v>
      </c>
      <c r="B251">
        <v>330.4</v>
      </c>
      <c r="C251" cm="1">
        <f t="array" ref="C251">TREND($B$2:$B$421, $A$2:$A$421, A251)</f>
        <v>376.68097264243443</v>
      </c>
      <c r="D251">
        <f t="shared" si="12"/>
        <v>-46.280972642434449</v>
      </c>
      <c r="E251">
        <f t="shared" si="13"/>
        <v>-0.32671695829481201</v>
      </c>
      <c r="G251" s="7">
        <v>2001.75</v>
      </c>
      <c r="H251">
        <v>1.0182897540242137</v>
      </c>
      <c r="I251" cm="1">
        <f t="array" ref="I251">TREND($H$2:$H$421, $A$2:$A$421, A251)</f>
        <v>1.0062661300933771</v>
      </c>
      <c r="J251">
        <f t="shared" si="14"/>
        <v>1.2023623930836669E-2</v>
      </c>
      <c r="K251">
        <f t="shared" si="15"/>
        <v>0.43967831704037685</v>
      </c>
    </row>
    <row r="252" spans="1:11" x14ac:dyDescent="0.35">
      <c r="A252" s="1">
        <v>2001.8333333339201</v>
      </c>
      <c r="B252">
        <v>390.3</v>
      </c>
      <c r="C252" cm="1">
        <f t="array" ref="C252">TREND($B$2:$B$421, $A$2:$A$421, A252)</f>
        <v>377.05080739287587</v>
      </c>
      <c r="D252">
        <f t="shared" si="12"/>
        <v>13.249192607124144</v>
      </c>
      <c r="E252">
        <f t="shared" si="13"/>
        <v>9.3531653751204299E-2</v>
      </c>
      <c r="G252" s="7">
        <v>2001.8333333333333</v>
      </c>
      <c r="H252">
        <v>1.0246593844789604</v>
      </c>
      <c r="I252" cm="1">
        <f t="array" ref="I252">TREND($H$2:$H$421, $A$2:$A$421, A252)</f>
        <v>1.0061571553840905</v>
      </c>
      <c r="J252">
        <f t="shared" si="14"/>
        <v>1.8502229094869982E-2</v>
      </c>
      <c r="K252">
        <f t="shared" si="15"/>
        <v>0.67658710857250925</v>
      </c>
    </row>
    <row r="253" spans="1:11" x14ac:dyDescent="0.35">
      <c r="A253" s="1">
        <v>2001.91666666725</v>
      </c>
      <c r="B253">
        <v>432</v>
      </c>
      <c r="C253" cm="1">
        <f t="array" ref="C253">TREND($B$2:$B$421, $A$2:$A$421, A253)</f>
        <v>377.42064214331549</v>
      </c>
      <c r="D253">
        <f t="shared" si="12"/>
        <v>54.57935785668451</v>
      </c>
      <c r="E253">
        <f t="shared" si="13"/>
        <v>0.38529876894309478</v>
      </c>
      <c r="G253" s="7">
        <v>2001.9166666666665</v>
      </c>
      <c r="H253">
        <v>1.0300452994045979</v>
      </c>
      <c r="I253" cm="1">
        <f t="array" ref="I253">TREND($H$2:$H$421, $A$2:$A$421, A253)</f>
        <v>1.0060481806748047</v>
      </c>
      <c r="J253">
        <f t="shared" si="14"/>
        <v>2.3997118729793154E-2</v>
      </c>
      <c r="K253">
        <f t="shared" si="15"/>
        <v>0.87752351850208876</v>
      </c>
    </row>
    <row r="254" spans="1:11" x14ac:dyDescent="0.35">
      <c r="A254" s="1">
        <v>2002.00000000058</v>
      </c>
      <c r="B254">
        <v>393.2</v>
      </c>
      <c r="C254" cm="1">
        <f t="array" ref="C254">TREND($B$2:$B$421, $A$2:$A$421, A254)</f>
        <v>377.79047689375511</v>
      </c>
      <c r="D254">
        <f t="shared" si="12"/>
        <v>15.409523106244876</v>
      </c>
      <c r="E254">
        <f t="shared" si="13"/>
        <v>0.10878234035706581</v>
      </c>
      <c r="G254" s="7">
        <v>2002</v>
      </c>
      <c r="H254">
        <v>1.0224363749547745</v>
      </c>
      <c r="I254" cm="1">
        <f t="array" ref="I254">TREND($H$2:$H$421, $A$2:$A$421, A254)</f>
        <v>1.0059392059655186</v>
      </c>
      <c r="J254">
        <f t="shared" si="14"/>
        <v>1.6497168989255906E-2</v>
      </c>
      <c r="K254">
        <f t="shared" si="15"/>
        <v>0.60326633125343043</v>
      </c>
    </row>
    <row r="255" spans="1:11" x14ac:dyDescent="0.35">
      <c r="A255" s="1">
        <v>2002.0833333339101</v>
      </c>
      <c r="B255">
        <v>222.4</v>
      </c>
      <c r="C255" cm="1">
        <f t="array" ref="C255">TREND($B$2:$B$421, $A$2:$A$421, A255)</f>
        <v>378.16031164419655</v>
      </c>
      <c r="D255">
        <f t="shared" si="12"/>
        <v>-155.76031164419655</v>
      </c>
      <c r="E255">
        <f t="shared" si="13"/>
        <v>-1.0995779115666824</v>
      </c>
      <c r="G255" s="7">
        <v>2002.0833333333333</v>
      </c>
      <c r="H255">
        <v>0.9990378794925685</v>
      </c>
      <c r="I255" cm="1">
        <f t="array" ref="I255">TREND($H$2:$H$421, $A$2:$A$421, A255)</f>
        <v>1.0058302312562319</v>
      </c>
      <c r="J255">
        <f t="shared" si="14"/>
        <v>-6.7923517636634401E-3</v>
      </c>
      <c r="K255">
        <f t="shared" si="15"/>
        <v>-0.24838183640580627</v>
      </c>
    </row>
    <row r="256" spans="1:11" x14ac:dyDescent="0.35">
      <c r="A256" s="1">
        <v>2002.16666666724</v>
      </c>
      <c r="B256">
        <v>202.3</v>
      </c>
      <c r="C256" cm="1">
        <f t="array" ref="C256">TREND($B$2:$B$421, $A$2:$A$421, A256)</f>
        <v>378.53014639463618</v>
      </c>
      <c r="D256">
        <f t="shared" si="12"/>
        <v>-176.23014639463617</v>
      </c>
      <c r="E256">
        <f t="shared" si="13"/>
        <v>-1.2440831318465362</v>
      </c>
      <c r="G256" s="7">
        <v>2002.1666666666665</v>
      </c>
      <c r="H256">
        <v>0.98103772094927788</v>
      </c>
      <c r="I256" cm="1">
        <f t="array" ref="I256">TREND($H$2:$H$421, $A$2:$A$421, A256)</f>
        <v>1.0057212565469462</v>
      </c>
      <c r="J256">
        <f t="shared" si="14"/>
        <v>-2.4683535597668338E-2</v>
      </c>
      <c r="K256">
        <f t="shared" si="15"/>
        <v>-0.90262432130429304</v>
      </c>
    </row>
    <row r="257" spans="1:11" x14ac:dyDescent="0.35">
      <c r="A257" s="1">
        <v>2002.25000000057</v>
      </c>
      <c r="B257">
        <v>300.2</v>
      </c>
      <c r="C257" cm="1">
        <f t="array" ref="C257">TREND($B$2:$B$421, $A$2:$A$421, A257)</f>
        <v>378.8999811450758</v>
      </c>
      <c r="D257">
        <f t="shared" si="12"/>
        <v>-78.69998114507581</v>
      </c>
      <c r="E257">
        <f t="shared" si="13"/>
        <v>-0.55557644944571305</v>
      </c>
      <c r="G257" s="7">
        <v>2002.25</v>
      </c>
      <c r="H257">
        <v>0.97056122711564352</v>
      </c>
      <c r="I257" cm="1">
        <f t="array" ref="I257">TREND($H$2:$H$421, $A$2:$A$421, A257)</f>
        <v>1.0056122818376596</v>
      </c>
      <c r="J257">
        <f t="shared" si="14"/>
        <v>-3.5051054722016084E-2</v>
      </c>
      <c r="K257">
        <f t="shared" si="15"/>
        <v>-1.2817424130458792</v>
      </c>
    </row>
    <row r="258" spans="1:11" x14ac:dyDescent="0.35">
      <c r="A258" s="1">
        <v>2002.3333333339001</v>
      </c>
      <c r="B258">
        <v>400.9</v>
      </c>
      <c r="C258" cm="1">
        <f t="array" ref="C258">TREND($B$2:$B$421, $A$2:$A$421, A258)</f>
        <v>379.26981589551724</v>
      </c>
      <c r="D258">
        <f t="shared" si="12"/>
        <v>21.630184104482737</v>
      </c>
      <c r="E258">
        <f t="shared" si="13"/>
        <v>0.15269661708650309</v>
      </c>
      <c r="G258" s="7">
        <v>2002.3333333333333</v>
      </c>
      <c r="H258">
        <v>0.97597515000815649</v>
      </c>
      <c r="I258" cm="1">
        <f t="array" ref="I258">TREND($H$2:$H$421, $A$2:$A$421, A258)</f>
        <v>1.0055033071283734</v>
      </c>
      <c r="J258">
        <f t="shared" si="14"/>
        <v>-2.9528157120216947E-2</v>
      </c>
      <c r="K258">
        <f t="shared" si="15"/>
        <v>-1.0797818114241289</v>
      </c>
    </row>
    <row r="259" spans="1:11" x14ac:dyDescent="0.35">
      <c r="A259" s="1">
        <v>2002.4166666672299</v>
      </c>
      <c r="B259">
        <v>445</v>
      </c>
      <c r="C259" cm="1">
        <f t="array" ref="C259">TREND($B$2:$B$421, $A$2:$A$421, A259)</f>
        <v>379.63965064595686</v>
      </c>
      <c r="D259">
        <f t="shared" ref="D259:D322" si="16">B259 - C259</f>
        <v>65.360349354043137</v>
      </c>
      <c r="E259">
        <f t="shared" ref="E259:E322" si="17">(D259 - AVERAGE($D$2:$D$421)) / _xlfn.STDEV.S($D$2:$D$421)</f>
        <v>0.46140634724817031</v>
      </c>
      <c r="G259" s="7">
        <v>2002.4166666666665</v>
      </c>
      <c r="H259">
        <v>0.98298415364577241</v>
      </c>
      <c r="I259" cm="1">
        <f t="array" ref="I259">TREND($H$2:$H$421, $A$2:$A$421, A259)</f>
        <v>1.0053943324190877</v>
      </c>
      <c r="J259">
        <f t="shared" ref="J259:J322" si="18">H259 - I259</f>
        <v>-2.2410178773315304E-2</v>
      </c>
      <c r="K259">
        <f t="shared" ref="K259:K322" si="19">(J259 - AVERAGE($J$2:$J$421)) / _xlfn.STDEV.S($J$2:$J$421)</f>
        <v>-0.81949250444828525</v>
      </c>
    </row>
    <row r="260" spans="1:11" x14ac:dyDescent="0.35">
      <c r="A260" s="1">
        <v>2002.50000000056</v>
      </c>
      <c r="B260">
        <v>432.6</v>
      </c>
      <c r="C260" cm="1">
        <f t="array" ref="C260">TREND($B$2:$B$421, $A$2:$A$421, A260)</f>
        <v>380.00948539639649</v>
      </c>
      <c r="D260">
        <f t="shared" si="16"/>
        <v>52.590514603603538</v>
      </c>
      <c r="E260">
        <f t="shared" si="17"/>
        <v>0.37125868332968287</v>
      </c>
      <c r="G260" s="7">
        <v>2002.5</v>
      </c>
      <c r="H260">
        <v>0.98990943391601594</v>
      </c>
      <c r="I260" cm="1">
        <f t="array" ref="I260">TREND($H$2:$H$421, $A$2:$A$421, A260)</f>
        <v>1.0052853577098011</v>
      </c>
      <c r="J260">
        <f t="shared" si="18"/>
        <v>-1.5375923793785162E-2</v>
      </c>
      <c r="K260">
        <f t="shared" si="19"/>
        <v>-0.56226478268789781</v>
      </c>
    </row>
    <row r="261" spans="1:11" x14ac:dyDescent="0.35">
      <c r="A261" s="1">
        <v>2002.5833333338901</v>
      </c>
      <c r="B261">
        <v>339.4</v>
      </c>
      <c r="C261" cm="1">
        <f t="array" ref="C261">TREND($B$2:$B$421, $A$2:$A$421, A261)</f>
        <v>380.37932014683793</v>
      </c>
      <c r="D261">
        <f t="shared" si="16"/>
        <v>-40.979320146837949</v>
      </c>
      <c r="E261">
        <f t="shared" si="17"/>
        <v>-0.28929035123795949</v>
      </c>
      <c r="G261" s="7">
        <v>2002.5833333333333</v>
      </c>
      <c r="H261">
        <v>1.0038215141931199</v>
      </c>
      <c r="I261" cm="1">
        <f t="array" ref="I261">TREND($H$2:$H$421, $A$2:$A$421, A261)</f>
        <v>1.0051763830005149</v>
      </c>
      <c r="J261">
        <f t="shared" si="18"/>
        <v>-1.3548688073949933E-3</v>
      </c>
      <c r="K261">
        <f t="shared" si="19"/>
        <v>-4.9544666439400774E-2</v>
      </c>
    </row>
    <row r="262" spans="1:11" x14ac:dyDescent="0.35">
      <c r="A262" s="1">
        <v>2002.6666666672199</v>
      </c>
      <c r="B262">
        <v>349</v>
      </c>
      <c r="C262" cm="1">
        <f t="array" ref="C262">TREND($B$2:$B$421, $A$2:$A$421, A262)</f>
        <v>380.74915489727755</v>
      </c>
      <c r="D262">
        <f t="shared" si="16"/>
        <v>-31.749154897277549</v>
      </c>
      <c r="E262">
        <f t="shared" si="17"/>
        <v>-0.22413071126682918</v>
      </c>
      <c r="G262" s="7">
        <v>2002.6666666666665</v>
      </c>
      <c r="H262">
        <v>1.0179944499235338</v>
      </c>
      <c r="I262" cm="1">
        <f t="array" ref="I262">TREND($H$2:$H$421, $A$2:$A$421, A262)</f>
        <v>1.0050674082912288</v>
      </c>
      <c r="J262">
        <f t="shared" si="18"/>
        <v>1.292704163230507E-2</v>
      </c>
      <c r="K262">
        <f t="shared" si="19"/>
        <v>0.47271437811905059</v>
      </c>
    </row>
    <row r="263" spans="1:11" x14ac:dyDescent="0.35">
      <c r="A263" s="1">
        <v>2002.75000000055</v>
      </c>
      <c r="B263">
        <v>393.5</v>
      </c>
      <c r="C263" cm="1">
        <f t="array" ref="C263">TREND($B$2:$B$421, $A$2:$A$421, A263)</f>
        <v>381.11898964771717</v>
      </c>
      <c r="D263">
        <f t="shared" si="16"/>
        <v>12.381010352282829</v>
      </c>
      <c r="E263">
        <f t="shared" si="17"/>
        <v>8.7402788056467312E-2</v>
      </c>
      <c r="G263" s="7">
        <v>2002.75</v>
      </c>
      <c r="H263">
        <v>1.0272563624892221</v>
      </c>
      <c r="I263" cm="1">
        <f t="array" ref="I263">TREND($H$2:$H$421, $A$2:$A$421, A263)</f>
        <v>1.0049584335819426</v>
      </c>
      <c r="J263">
        <f t="shared" si="18"/>
        <v>2.2297928907279552E-2</v>
      </c>
      <c r="K263">
        <f t="shared" si="19"/>
        <v>0.81538776593759954</v>
      </c>
    </row>
    <row r="264" spans="1:11" x14ac:dyDescent="0.35">
      <c r="A264" s="1">
        <v>2002.8333333338801</v>
      </c>
      <c r="B264">
        <v>465.5</v>
      </c>
      <c r="C264" cm="1">
        <f t="array" ref="C264">TREND($B$2:$B$421, $A$2:$A$421, A264)</f>
        <v>381.48882439815861</v>
      </c>
      <c r="D264">
        <f t="shared" si="16"/>
        <v>84.011175601841387</v>
      </c>
      <c r="E264">
        <f t="shared" si="17"/>
        <v>0.59307041724177312</v>
      </c>
      <c r="G264" s="7">
        <v>2002.8333333333333</v>
      </c>
      <c r="H264">
        <v>1.0326263090388026</v>
      </c>
      <c r="I264" cm="1">
        <f t="array" ref="I264">TREND($H$2:$H$421, $A$2:$A$421, A264)</f>
        <v>1.0048494588726564</v>
      </c>
      <c r="J264">
        <f t="shared" si="18"/>
        <v>2.7776850166146172E-2</v>
      </c>
      <c r="K264">
        <f t="shared" si="19"/>
        <v>1.0157402463671548</v>
      </c>
    </row>
    <row r="265" spans="1:11" x14ac:dyDescent="0.35">
      <c r="A265" s="1">
        <v>2002.9166666672099</v>
      </c>
      <c r="B265">
        <v>394.7</v>
      </c>
      <c r="C265" cm="1">
        <f t="array" ref="C265">TREND($B$2:$B$421, $A$2:$A$421, A265)</f>
        <v>381.85865914859824</v>
      </c>
      <c r="D265">
        <f t="shared" si="16"/>
        <v>12.841340851401753</v>
      </c>
      <c r="E265">
        <f t="shared" si="17"/>
        <v>9.065245572539106E-2</v>
      </c>
      <c r="G265" s="7">
        <v>2002.9166666666665</v>
      </c>
      <c r="H265">
        <v>1.0340656514122621</v>
      </c>
      <c r="I265" cm="1">
        <f t="array" ref="I265">TREND($H$2:$H$421, $A$2:$A$421, A265)</f>
        <v>1.0047404841633703</v>
      </c>
      <c r="J265">
        <f t="shared" si="18"/>
        <v>2.9325167248891892E-2</v>
      </c>
      <c r="K265">
        <f t="shared" si="19"/>
        <v>1.07235890419465</v>
      </c>
    </row>
    <row r="266" spans="1:11" x14ac:dyDescent="0.35">
      <c r="A266" s="1">
        <v>2003.00000000054</v>
      </c>
      <c r="B266">
        <v>243.8</v>
      </c>
      <c r="C266" cm="1">
        <f t="array" ref="C266">TREND($B$2:$B$421, $A$2:$A$421, A266)</f>
        <v>382.22849389903786</v>
      </c>
      <c r="D266">
        <f t="shared" si="16"/>
        <v>-138.42849389903785</v>
      </c>
      <c r="E266">
        <f t="shared" si="17"/>
        <v>-0.97722528040728085</v>
      </c>
      <c r="G266" s="7">
        <v>2003</v>
      </c>
      <c r="H266">
        <v>1.0215095379161421</v>
      </c>
      <c r="I266" cm="1">
        <f t="array" ref="I266">TREND($H$2:$H$421, $A$2:$A$421, A266)</f>
        <v>1.0046315094540841</v>
      </c>
      <c r="J266">
        <f t="shared" si="18"/>
        <v>1.6878028462057992E-2</v>
      </c>
      <c r="K266">
        <f t="shared" si="19"/>
        <v>0.61719355094973527</v>
      </c>
    </row>
    <row r="267" spans="1:11" x14ac:dyDescent="0.35">
      <c r="A267" s="1">
        <v>2003.0833333338701</v>
      </c>
      <c r="B267">
        <v>175.8</v>
      </c>
      <c r="C267" cm="1">
        <f t="array" ref="C267">TREND($B$2:$B$421, $A$2:$A$421, A267)</f>
        <v>382.5983286494793</v>
      </c>
      <c r="D267">
        <f t="shared" si="16"/>
        <v>-206.79832864947929</v>
      </c>
      <c r="E267">
        <f t="shared" si="17"/>
        <v>-1.4598768577922698</v>
      </c>
      <c r="G267" s="7">
        <v>2003.0833333333333</v>
      </c>
      <c r="H267">
        <v>0.98899578045880299</v>
      </c>
      <c r="I267" cm="1">
        <f t="array" ref="I267">TREND($H$2:$H$421, $A$2:$A$421, A267)</f>
        <v>1.0045225347447979</v>
      </c>
      <c r="J267">
        <f t="shared" si="18"/>
        <v>-1.5526754285994926E-2</v>
      </c>
      <c r="K267">
        <f t="shared" si="19"/>
        <v>-0.56778033252167803</v>
      </c>
    </row>
    <row r="268" spans="1:11" x14ac:dyDescent="0.35">
      <c r="A268" s="1">
        <v>2003.1666666671999</v>
      </c>
      <c r="B268">
        <v>173</v>
      </c>
      <c r="C268" cm="1">
        <f t="array" ref="C268">TREND($B$2:$B$421, $A$2:$A$421, A268)</f>
        <v>382.96816339991892</v>
      </c>
      <c r="D268">
        <f t="shared" si="16"/>
        <v>-209.96816339991892</v>
      </c>
      <c r="E268">
        <f t="shared" si="17"/>
        <v>-1.4822540618316515</v>
      </c>
      <c r="G268" s="7">
        <v>2003.1666666666665</v>
      </c>
      <c r="H268">
        <v>0.9692350639502092</v>
      </c>
      <c r="I268" cm="1">
        <f t="array" ref="I268">TREND($H$2:$H$421, $A$2:$A$421, A268)</f>
        <v>1.0044135600355117</v>
      </c>
      <c r="J268">
        <f t="shared" si="18"/>
        <v>-3.5178496085302546E-2</v>
      </c>
      <c r="K268">
        <f t="shared" si="19"/>
        <v>-1.286402672253373</v>
      </c>
    </row>
    <row r="269" spans="1:11" x14ac:dyDescent="0.35">
      <c r="A269" s="1">
        <v>2003.25000000053</v>
      </c>
      <c r="B269" s="2">
        <v>248.7</v>
      </c>
      <c r="C269" cm="1">
        <f t="array" ref="C269">TREND($B$2:$B$421, $A$2:$A$421, A269)</f>
        <v>383.33799815035854</v>
      </c>
      <c r="D269">
        <f t="shared" si="16"/>
        <v>-134.63799815035856</v>
      </c>
      <c r="E269">
        <f t="shared" si="17"/>
        <v>-0.95046656790126094</v>
      </c>
      <c r="G269" s="7">
        <v>2003.25</v>
      </c>
      <c r="H269">
        <v>0.96597843346481072</v>
      </c>
      <c r="I269" cm="1">
        <f t="array" ref="I269">TREND($H$2:$H$421, $A$2:$A$421, A269)</f>
        <v>1.0043045853262256</v>
      </c>
      <c r="J269">
        <f t="shared" si="18"/>
        <v>-3.8326151861414859E-2</v>
      </c>
      <c r="K269">
        <f t="shared" si="19"/>
        <v>-1.4015057395336235</v>
      </c>
    </row>
    <row r="270" spans="1:11" x14ac:dyDescent="0.35">
      <c r="A270" s="1">
        <v>2003.3333333338601</v>
      </c>
      <c r="B270">
        <v>324.39999999999998</v>
      </c>
      <c r="C270" cm="1">
        <f t="array" ref="C270">TREND($B$2:$B$421, $A$2:$A$421, A270)</f>
        <v>383.70783290079999</v>
      </c>
      <c r="D270">
        <f t="shared" si="16"/>
        <v>-59.307832900800008</v>
      </c>
      <c r="E270">
        <f t="shared" si="17"/>
        <v>-0.41867907397088311</v>
      </c>
      <c r="G270" s="7">
        <v>2003.3333333333333</v>
      </c>
      <c r="H270">
        <v>0.97060826797010469</v>
      </c>
      <c r="I270" cm="1">
        <f t="array" ref="I270">TREND($H$2:$H$421, $A$2:$A$421, A270)</f>
        <v>1.0041956106169394</v>
      </c>
      <c r="J270">
        <f t="shared" si="18"/>
        <v>-3.3587342646834717E-2</v>
      </c>
      <c r="K270">
        <f t="shared" si="19"/>
        <v>-1.2282175801378146</v>
      </c>
    </row>
    <row r="271" spans="1:11" x14ac:dyDescent="0.35">
      <c r="A271" s="1">
        <v>2003.4166666671899</v>
      </c>
      <c r="B271">
        <v>392.4</v>
      </c>
      <c r="C271" cm="1">
        <f t="array" ref="C271">TREND($B$2:$B$421, $A$2:$A$421, A271)</f>
        <v>384.07766765123961</v>
      </c>
      <c r="D271">
        <f t="shared" si="16"/>
        <v>8.3223323487603693</v>
      </c>
      <c r="E271">
        <f t="shared" si="17"/>
        <v>5.8750863598141426E-2</v>
      </c>
      <c r="G271" s="7">
        <v>2003.4166666666665</v>
      </c>
      <c r="H271">
        <v>0.9825734831172831</v>
      </c>
      <c r="I271" cm="1">
        <f t="array" ref="I271">TREND($H$2:$H$421, $A$2:$A$421, A271)</f>
        <v>1.0040866359076532</v>
      </c>
      <c r="J271">
        <f t="shared" si="18"/>
        <v>-2.1513152790370138E-2</v>
      </c>
      <c r="K271">
        <f t="shared" si="19"/>
        <v>-0.78669017490175674</v>
      </c>
    </row>
    <row r="272" spans="1:11" x14ac:dyDescent="0.35">
      <c r="A272" s="1">
        <v>2003.50000000052</v>
      </c>
      <c r="B272">
        <v>449.4</v>
      </c>
      <c r="C272" cm="1">
        <f t="array" ref="C272">TREND($B$2:$B$421, $A$2:$A$421, A272)</f>
        <v>384.44750240167923</v>
      </c>
      <c r="D272">
        <f t="shared" si="16"/>
        <v>64.952497598320747</v>
      </c>
      <c r="E272">
        <f t="shared" si="17"/>
        <v>0.45852714922235704</v>
      </c>
      <c r="G272" s="7">
        <v>2003.5</v>
      </c>
      <c r="H272">
        <v>0.99571950318664881</v>
      </c>
      <c r="I272" cm="1">
        <f t="array" ref="I272">TREND($H$2:$H$421, $A$2:$A$421, A272)</f>
        <v>1.0039776611983671</v>
      </c>
      <c r="J272">
        <f t="shared" si="18"/>
        <v>-8.2581580117182529E-3</v>
      </c>
      <c r="K272">
        <f t="shared" si="19"/>
        <v>-0.30198324875530086</v>
      </c>
    </row>
    <row r="273" spans="1:11" x14ac:dyDescent="0.35">
      <c r="A273" s="1">
        <v>2003.5833333338501</v>
      </c>
      <c r="B273">
        <v>443.4</v>
      </c>
      <c r="C273" cm="1">
        <f t="array" ref="C273">TREND($B$2:$B$421, $A$2:$A$421, A273)</f>
        <v>384.81733715212067</v>
      </c>
      <c r="D273">
        <f t="shared" si="16"/>
        <v>58.582662847879305</v>
      </c>
      <c r="E273">
        <f t="shared" si="17"/>
        <v>0.41355979188992725</v>
      </c>
      <c r="G273" s="7">
        <v>2003.5833333333333</v>
      </c>
      <c r="H273">
        <v>1.0146669957459042</v>
      </c>
      <c r="I273" cm="1">
        <f t="array" ref="I273">TREND($H$2:$H$421, $A$2:$A$421, A273)</f>
        <v>1.0038686864890805</v>
      </c>
      <c r="J273">
        <f t="shared" si="18"/>
        <v>1.079830925682379E-2</v>
      </c>
      <c r="K273">
        <f t="shared" si="19"/>
        <v>0.3948711693107167</v>
      </c>
    </row>
    <row r="274" spans="1:11" x14ac:dyDescent="0.35">
      <c r="A274" s="1">
        <v>2003.6666666671799</v>
      </c>
      <c r="B274">
        <v>400.8</v>
      </c>
      <c r="C274" cm="1">
        <f t="array" ref="C274">TREND($B$2:$B$421, $A$2:$A$421, A274)</f>
        <v>385.18717190256029</v>
      </c>
      <c r="D274">
        <f t="shared" si="16"/>
        <v>15.612828097439717</v>
      </c>
      <c r="E274">
        <f t="shared" si="17"/>
        <v>0.11021755626841914</v>
      </c>
      <c r="G274" s="7">
        <v>2003.6666666666665</v>
      </c>
      <c r="H274">
        <v>1.0299744921305485</v>
      </c>
      <c r="I274" cm="1">
        <f t="array" ref="I274">TREND($H$2:$H$421, $A$2:$A$421, A274)</f>
        <v>1.0037597117797947</v>
      </c>
      <c r="J274">
        <f t="shared" si="18"/>
        <v>2.6214780350753752E-2</v>
      </c>
      <c r="K274">
        <f t="shared" si="19"/>
        <v>0.95861868039985176</v>
      </c>
    </row>
    <row r="275" spans="1:11" x14ac:dyDescent="0.35">
      <c r="A275" s="1">
        <v>2003.75000000051</v>
      </c>
      <c r="B275">
        <v>467.7</v>
      </c>
      <c r="C275" cm="1">
        <f t="array" ref="C275">TREND($B$2:$B$421, $A$2:$A$421, A275)</f>
        <v>385.55700665299992</v>
      </c>
      <c r="D275">
        <f t="shared" si="16"/>
        <v>82.142993347000072</v>
      </c>
      <c r="E275">
        <f t="shared" si="17"/>
        <v>0.57988212864296262</v>
      </c>
      <c r="G275" s="7">
        <v>2003.75</v>
      </c>
      <c r="H275">
        <v>1.0411184517604177</v>
      </c>
      <c r="I275" cm="1">
        <f t="array" ref="I275">TREND($H$2:$H$421, $A$2:$A$421, A275)</f>
        <v>1.0036507370705086</v>
      </c>
      <c r="J275">
        <f t="shared" si="18"/>
        <v>3.7467714689909171E-2</v>
      </c>
      <c r="K275">
        <f t="shared" si="19"/>
        <v>1.3701145206279131</v>
      </c>
    </row>
    <row r="276" spans="1:11" x14ac:dyDescent="0.35">
      <c r="A276" s="1">
        <v>2003.8333333338401</v>
      </c>
      <c r="B276">
        <v>518</v>
      </c>
      <c r="C276" cm="1">
        <f t="array" ref="C276">TREND($B$2:$B$421, $A$2:$A$421, A276)</f>
        <v>385.92684140344136</v>
      </c>
      <c r="D276">
        <f t="shared" si="16"/>
        <v>132.07315859655864</v>
      </c>
      <c r="E276">
        <f t="shared" si="17"/>
        <v>0.93236028080987288</v>
      </c>
      <c r="G276" s="7">
        <v>2003.8333333333333</v>
      </c>
      <c r="H276">
        <v>1.0438244105935528</v>
      </c>
      <c r="I276" cm="1">
        <f t="array" ref="I276">TREND($H$2:$H$421, $A$2:$A$421, A276)</f>
        <v>1.0035417623612219</v>
      </c>
      <c r="J276">
        <f t="shared" si="18"/>
        <v>4.0282648232330853E-2</v>
      </c>
      <c r="K276">
        <f t="shared" si="19"/>
        <v>1.4730506445146805</v>
      </c>
    </row>
    <row r="277" spans="1:11" x14ac:dyDescent="0.35">
      <c r="A277" s="1">
        <v>2003.9166666671699</v>
      </c>
      <c r="B277">
        <v>566.4</v>
      </c>
      <c r="C277" cm="1">
        <f t="array" ref="C277">TREND($B$2:$B$421, $A$2:$A$421, A277)</f>
        <v>386.29667615388098</v>
      </c>
      <c r="D277">
        <f t="shared" si="16"/>
        <v>180.103323846119</v>
      </c>
      <c r="E277">
        <f t="shared" si="17"/>
        <v>1.271425529459056</v>
      </c>
      <c r="G277" s="7">
        <v>2003.9166666666665</v>
      </c>
      <c r="H277">
        <v>1.0501552587982892</v>
      </c>
      <c r="I277" cm="1">
        <f t="array" ref="I277">TREND($H$2:$H$421, $A$2:$A$421, A277)</f>
        <v>1.0034327876519362</v>
      </c>
      <c r="J277">
        <f t="shared" si="18"/>
        <v>4.6722471146352973E-2</v>
      </c>
      <c r="K277">
        <f t="shared" si="19"/>
        <v>1.708541251769423</v>
      </c>
    </row>
    <row r="278" spans="1:11" x14ac:dyDescent="0.35">
      <c r="A278" s="1">
        <v>2004.0000000005</v>
      </c>
      <c r="B278">
        <v>474.6</v>
      </c>
      <c r="C278" cm="1">
        <f t="array" ref="C278">TREND($B$2:$B$421, $A$2:$A$421, A278)</f>
        <v>386.6665109043206</v>
      </c>
      <c r="D278">
        <f t="shared" si="16"/>
        <v>87.93348909567942</v>
      </c>
      <c r="E278">
        <f t="shared" si="17"/>
        <v>0.62075968695713002</v>
      </c>
      <c r="G278" s="7">
        <v>2004</v>
      </c>
      <c r="H278">
        <v>1.0393769869656424</v>
      </c>
      <c r="I278" cm="1">
        <f t="array" ref="I278">TREND($H$2:$H$421, $A$2:$A$421, A278)</f>
        <v>1.0033238129426496</v>
      </c>
      <c r="J278">
        <f t="shared" si="18"/>
        <v>3.6053174022992795E-2</v>
      </c>
      <c r="K278">
        <f t="shared" si="19"/>
        <v>1.3183877813858529</v>
      </c>
    </row>
    <row r="279" spans="1:11" x14ac:dyDescent="0.35">
      <c r="A279" s="1">
        <v>2004.0833333338301</v>
      </c>
      <c r="B279">
        <v>220.1</v>
      </c>
      <c r="C279" cm="1">
        <f t="array" ref="C279">TREND($B$2:$B$421, $A$2:$A$421, A279)</f>
        <v>387.03634565476204</v>
      </c>
      <c r="D279">
        <f t="shared" si="16"/>
        <v>-166.93634565476205</v>
      </c>
      <c r="E279">
        <f t="shared" si="17"/>
        <v>-1.1784742620375732</v>
      </c>
      <c r="G279" s="7">
        <v>2004.0833333333333</v>
      </c>
      <c r="H279">
        <v>0.99531632588527197</v>
      </c>
      <c r="I279" cm="1">
        <f t="array" ref="I279">TREND($H$2:$H$421, $A$2:$A$421, A279)</f>
        <v>1.0032148382333634</v>
      </c>
      <c r="J279">
        <f t="shared" si="18"/>
        <v>-7.8985123480914687E-3</v>
      </c>
      <c r="K279">
        <f t="shared" si="19"/>
        <v>-0.28883177287549139</v>
      </c>
    </row>
    <row r="280" spans="1:11" x14ac:dyDescent="0.35">
      <c r="A280" s="1">
        <v>2004.1666666671599</v>
      </c>
      <c r="B280">
        <v>125.6</v>
      </c>
      <c r="C280" cm="1">
        <f t="array" ref="C280">TREND($B$2:$B$421, $A$2:$A$421, A280)</f>
        <v>387.40618040520167</v>
      </c>
      <c r="D280">
        <f t="shared" si="16"/>
        <v>-261.80618040520164</v>
      </c>
      <c r="E280">
        <f t="shared" si="17"/>
        <v>-1.8482005463804978</v>
      </c>
      <c r="G280" s="7">
        <v>2004.1666666666665</v>
      </c>
      <c r="H280">
        <v>0.97220695237072385</v>
      </c>
      <c r="I280" cm="1">
        <f t="array" ref="I280">TREND($H$2:$H$421, $A$2:$A$421, A280)</f>
        <v>1.0031058635240773</v>
      </c>
      <c r="J280">
        <f t="shared" si="18"/>
        <v>-3.0898911153353414E-2</v>
      </c>
      <c r="K280">
        <f t="shared" si="19"/>
        <v>-1.1299073667336279</v>
      </c>
    </row>
    <row r="281" spans="1:11" x14ac:dyDescent="0.35">
      <c r="A281" s="1">
        <v>2004.25000000049</v>
      </c>
      <c r="B281">
        <v>159.30000000000001</v>
      </c>
      <c r="C281" cm="1">
        <f t="array" ref="C281">TREND($B$2:$B$421, $A$2:$A$421, A281)</f>
        <v>387.77601515564311</v>
      </c>
      <c r="D281">
        <f t="shared" si="16"/>
        <v>-228.4760151556431</v>
      </c>
      <c r="E281">
        <f t="shared" si="17"/>
        <v>-1.6129088144212085</v>
      </c>
      <c r="G281" s="7">
        <v>2004.25</v>
      </c>
      <c r="H281">
        <v>0.96996491606069102</v>
      </c>
      <c r="I281" cm="1">
        <f t="array" ref="I281">TREND($H$2:$H$421, $A$2:$A$421, A281)</f>
        <v>1.0029968888147911</v>
      </c>
      <c r="J281">
        <f t="shared" si="18"/>
        <v>-3.3031972754100081E-2</v>
      </c>
      <c r="K281">
        <f t="shared" si="19"/>
        <v>-1.2079088860887424</v>
      </c>
    </row>
    <row r="282" spans="1:11" x14ac:dyDescent="0.35">
      <c r="A282" s="1">
        <v>2004.3333333338201</v>
      </c>
      <c r="B282">
        <v>349.9</v>
      </c>
      <c r="C282" cm="1">
        <f t="array" ref="C282">TREND($B$2:$B$421, $A$2:$A$421, A282)</f>
        <v>388.14584990608273</v>
      </c>
      <c r="D282">
        <f t="shared" si="16"/>
        <v>-38.245849906082753</v>
      </c>
      <c r="E282">
        <f t="shared" si="17"/>
        <v>-0.26999362881276884</v>
      </c>
      <c r="G282" s="7">
        <v>2004.3333333333333</v>
      </c>
      <c r="H282">
        <v>0.97446757164262554</v>
      </c>
      <c r="I282" cm="1">
        <f t="array" ref="I282">TREND($H$2:$H$421, $A$2:$A$421, A282)</f>
        <v>1.0028879141055049</v>
      </c>
      <c r="J282">
        <f t="shared" si="18"/>
        <v>-2.8420342462879389E-2</v>
      </c>
      <c r="K282">
        <f t="shared" si="19"/>
        <v>-1.039271389031289</v>
      </c>
    </row>
    <row r="283" spans="1:11" x14ac:dyDescent="0.35">
      <c r="A283" s="1">
        <v>2004.4166666671499</v>
      </c>
      <c r="B283">
        <v>431.1</v>
      </c>
      <c r="C283" cm="1">
        <f t="array" ref="C283">TREND($B$2:$B$421, $A$2:$A$421, A283)</f>
        <v>388.51568465652235</v>
      </c>
      <c r="D283">
        <f t="shared" si="16"/>
        <v>42.58431534347767</v>
      </c>
      <c r="E283">
        <f t="shared" si="17"/>
        <v>0.30062069109002665</v>
      </c>
      <c r="G283" s="7">
        <v>2004.4166666666665</v>
      </c>
      <c r="H283">
        <v>0.98027010791108671</v>
      </c>
      <c r="I283" cm="1">
        <f t="array" ref="I283">TREND($H$2:$H$421, $A$2:$A$421, A283)</f>
        <v>1.0027789393962188</v>
      </c>
      <c r="J283">
        <f t="shared" si="18"/>
        <v>-2.2508831485132053E-2</v>
      </c>
      <c r="K283">
        <f t="shared" si="19"/>
        <v>-0.82310002399085969</v>
      </c>
    </row>
    <row r="284" spans="1:11" x14ac:dyDescent="0.35">
      <c r="A284" s="1">
        <v>2004.50000000048</v>
      </c>
      <c r="B284">
        <v>380</v>
      </c>
      <c r="C284" cm="1">
        <f t="array" ref="C284">TREND($B$2:$B$421, $A$2:$A$421, A284)</f>
        <v>388.88551940696379</v>
      </c>
      <c r="D284">
        <f t="shared" si="16"/>
        <v>-8.8855194069637946</v>
      </c>
      <c r="E284">
        <f t="shared" si="17"/>
        <v>-6.272663921611972E-2</v>
      </c>
      <c r="G284" s="7">
        <v>2004.5</v>
      </c>
      <c r="H284">
        <v>0.99299629782758381</v>
      </c>
      <c r="I284" cm="1">
        <f t="array" ref="I284">TREND($H$2:$H$421, $A$2:$A$421, A284)</f>
        <v>1.0026699646869326</v>
      </c>
      <c r="J284">
        <f t="shared" si="18"/>
        <v>-9.673666859348784E-3</v>
      </c>
      <c r="K284">
        <f t="shared" si="19"/>
        <v>-0.35374539230386953</v>
      </c>
    </row>
    <row r="285" spans="1:11" x14ac:dyDescent="0.35">
      <c r="A285" s="1">
        <v>2004.5833333338101</v>
      </c>
      <c r="B285">
        <v>381.1</v>
      </c>
      <c r="C285" cm="1">
        <f t="array" ref="C285">TREND($B$2:$B$421, $A$2:$A$421, A285)</f>
        <v>389.25535415740342</v>
      </c>
      <c r="D285">
        <f t="shared" si="16"/>
        <v>-8.1553541574033943</v>
      </c>
      <c r="E285">
        <f t="shared" si="17"/>
        <v>-5.757209392961446E-2</v>
      </c>
      <c r="G285" s="7">
        <v>2004.5833333333333</v>
      </c>
      <c r="H285">
        <v>1.0106169552058697</v>
      </c>
      <c r="I285" cm="1">
        <f t="array" ref="I285">TREND($H$2:$H$421, $A$2:$A$421, A285)</f>
        <v>1.0025609899776464</v>
      </c>
      <c r="J285">
        <f t="shared" si="18"/>
        <v>8.0559652282232719E-3</v>
      </c>
      <c r="K285">
        <f t="shared" si="19"/>
        <v>0.29458948932998441</v>
      </c>
    </row>
    <row r="286" spans="1:11" x14ac:dyDescent="0.35">
      <c r="A286" s="1">
        <v>2004.6666666671399</v>
      </c>
      <c r="B286">
        <v>401</v>
      </c>
      <c r="C286" cm="1">
        <f t="array" ref="C286">TREND($B$2:$B$421, $A$2:$A$421, A286)</f>
        <v>389.62518890784304</v>
      </c>
      <c r="D286">
        <f t="shared" si="16"/>
        <v>11.374811092156961</v>
      </c>
      <c r="E286">
        <f t="shared" si="17"/>
        <v>8.0299601953472924E-2</v>
      </c>
      <c r="G286" s="7">
        <v>2004.6666666666665</v>
      </c>
      <c r="H286">
        <v>1.027557603310095</v>
      </c>
      <c r="I286" cm="1">
        <f t="array" ref="I286">TREND($H$2:$H$421, $A$2:$A$421, A286)</f>
        <v>1.0024520152683603</v>
      </c>
      <c r="J286">
        <f t="shared" si="18"/>
        <v>2.5105588041734794E-2</v>
      </c>
      <c r="K286">
        <f t="shared" si="19"/>
        <v>0.91805788021939716</v>
      </c>
    </row>
    <row r="287" spans="1:11" x14ac:dyDescent="0.35">
      <c r="A287" s="1">
        <v>2004.75000000047</v>
      </c>
      <c r="B287">
        <v>458.3</v>
      </c>
      <c r="C287" cm="1">
        <f t="array" ref="C287">TREND($B$2:$B$421, $A$2:$A$421, A287)</f>
        <v>389.99502365828448</v>
      </c>
      <c r="D287">
        <f t="shared" si="16"/>
        <v>68.30497634171553</v>
      </c>
      <c r="E287">
        <f t="shared" si="17"/>
        <v>0.48219371444889786</v>
      </c>
      <c r="G287" s="7">
        <v>2004.75</v>
      </c>
      <c r="H287">
        <v>1.0387479248056615</v>
      </c>
      <c r="I287" cm="1">
        <f t="array" ref="I287">TREND($H$2:$H$421, $A$2:$A$421, A287)</f>
        <v>1.0023430405590741</v>
      </c>
      <c r="J287">
        <f t="shared" si="18"/>
        <v>3.6404884246587388E-2</v>
      </c>
      <c r="K287">
        <f t="shared" si="19"/>
        <v>1.3312490751260346</v>
      </c>
    </row>
    <row r="288" spans="1:11" x14ac:dyDescent="0.35">
      <c r="A288" s="1">
        <v>2004.8333333338001</v>
      </c>
      <c r="B288">
        <v>540.70000000000005</v>
      </c>
      <c r="C288" cm="1">
        <f t="array" ref="C288">TREND($B$2:$B$421, $A$2:$A$421, A288)</f>
        <v>390.3648584087241</v>
      </c>
      <c r="D288">
        <f t="shared" si="16"/>
        <v>150.33514159127594</v>
      </c>
      <c r="E288">
        <f t="shared" si="17"/>
        <v>1.0612793418365816</v>
      </c>
      <c r="G288" s="7">
        <v>2004.8333333333333</v>
      </c>
      <c r="H288">
        <v>1.0427939626691503</v>
      </c>
      <c r="I288" cm="1">
        <f t="array" ref="I288">TREND($H$2:$H$421, $A$2:$A$421, A288)</f>
        <v>1.0022340658497879</v>
      </c>
      <c r="J288">
        <f t="shared" si="18"/>
        <v>4.055989681936234E-2</v>
      </c>
      <c r="K288">
        <f t="shared" si="19"/>
        <v>1.4831890348077432</v>
      </c>
    </row>
    <row r="289" spans="1:11" x14ac:dyDescent="0.35">
      <c r="A289" s="1">
        <v>2004.9166666671299</v>
      </c>
      <c r="B289">
        <v>527.70000000000005</v>
      </c>
      <c r="C289" cm="1">
        <f t="array" ref="C289">TREND($B$2:$B$421, $A$2:$A$421, A289)</f>
        <v>390.73469315916373</v>
      </c>
      <c r="D289">
        <f t="shared" si="16"/>
        <v>136.96530684083632</v>
      </c>
      <c r="E289">
        <f t="shared" si="17"/>
        <v>0.96689602417564979</v>
      </c>
      <c r="G289" s="7">
        <v>2004.9166666666665</v>
      </c>
      <c r="H289">
        <v>1.0415393595283997</v>
      </c>
      <c r="I289" cm="1">
        <f t="array" ref="I289">TREND($H$2:$H$421, $A$2:$A$421, A289)</f>
        <v>1.0021250911405017</v>
      </c>
      <c r="J289">
        <f t="shared" si="18"/>
        <v>3.9414268387897966E-2</v>
      </c>
      <c r="K289">
        <f t="shared" si="19"/>
        <v>1.441295843237768</v>
      </c>
    </row>
    <row r="290" spans="1:11" x14ac:dyDescent="0.35">
      <c r="A290" s="1">
        <v>2005.00000000046</v>
      </c>
      <c r="B290">
        <v>432.7</v>
      </c>
      <c r="C290" cm="1">
        <f t="array" ref="C290">TREND($B$2:$B$421, $A$2:$A$421, A290)</f>
        <v>391.10452790960517</v>
      </c>
      <c r="D290">
        <f t="shared" si="16"/>
        <v>41.595472090394821</v>
      </c>
      <c r="E290">
        <f t="shared" si="17"/>
        <v>0.29364002838067499</v>
      </c>
      <c r="G290" s="7">
        <v>2005</v>
      </c>
      <c r="H290">
        <v>1.0335170250614123</v>
      </c>
      <c r="I290" cm="1">
        <f t="array" ref="I290">TREND($H$2:$H$421, $A$2:$A$421, A290)</f>
        <v>1.0020161164312156</v>
      </c>
      <c r="J290">
        <f t="shared" si="18"/>
        <v>3.1500908630196722E-2</v>
      </c>
      <c r="K290">
        <f t="shared" si="19"/>
        <v>1.1519211322175844</v>
      </c>
    </row>
    <row r="291" spans="1:11" x14ac:dyDescent="0.35">
      <c r="A291" s="1">
        <v>2005.0833333337901</v>
      </c>
      <c r="B291">
        <v>291.2</v>
      </c>
      <c r="C291" cm="1">
        <f t="array" ref="C291">TREND($B$2:$B$421, $A$2:$A$421, A291)</f>
        <v>391.47436266004479</v>
      </c>
      <c r="D291">
        <f t="shared" si="16"/>
        <v>-100.2743626600448</v>
      </c>
      <c r="E291">
        <f t="shared" si="17"/>
        <v>-0.70787913245370582</v>
      </c>
      <c r="G291" s="7">
        <v>2005.0833333333333</v>
      </c>
      <c r="H291">
        <v>1.0038316072289586</v>
      </c>
      <c r="I291" cm="1">
        <f t="array" ref="I291">TREND($H$2:$H$421, $A$2:$A$421, A291)</f>
        <v>1.0019071417219294</v>
      </c>
      <c r="J291">
        <f t="shared" si="18"/>
        <v>1.9244655070291827E-3</v>
      </c>
      <c r="K291">
        <f t="shared" si="19"/>
        <v>7.0373604513913099E-2</v>
      </c>
    </row>
    <row r="292" spans="1:11" x14ac:dyDescent="0.35">
      <c r="A292" s="1">
        <v>2005.1666666671199</v>
      </c>
      <c r="B292">
        <v>219.8</v>
      </c>
      <c r="C292" cm="1">
        <f t="array" ref="C292">TREND($B$2:$B$421, $A$2:$A$421, A292)</f>
        <v>391.84419741048441</v>
      </c>
      <c r="D292">
        <f t="shared" si="16"/>
        <v>-172.0441974104844</v>
      </c>
      <c r="E292">
        <f t="shared" si="17"/>
        <v>-1.2145327477125318</v>
      </c>
      <c r="G292" s="7">
        <v>2005.1666666666665</v>
      </c>
      <c r="H292">
        <v>0.97585546735262796</v>
      </c>
      <c r="I292" cm="1">
        <f t="array" ref="I292">TREND($H$2:$H$421, $A$2:$A$421, A292)</f>
        <v>1.0017981670126432</v>
      </c>
      <c r="J292">
        <f t="shared" si="18"/>
        <v>-2.5942699660015278E-2</v>
      </c>
      <c r="K292">
        <f t="shared" si="19"/>
        <v>-0.94866926906672011</v>
      </c>
    </row>
    <row r="293" spans="1:11" x14ac:dyDescent="0.35">
      <c r="A293" s="1">
        <v>2005.25000000045</v>
      </c>
      <c r="B293">
        <v>255.8</v>
      </c>
      <c r="C293" cm="1">
        <f t="array" ref="C293">TREND($B$2:$B$421, $A$2:$A$421, A293)</f>
        <v>392.21403216092585</v>
      </c>
      <c r="D293">
        <f t="shared" si="16"/>
        <v>-136.41403216092584</v>
      </c>
      <c r="E293">
        <f t="shared" si="17"/>
        <v>-0.96300434307387317</v>
      </c>
      <c r="G293" s="7">
        <v>2005.25</v>
      </c>
      <c r="H293">
        <v>0.97081539851681253</v>
      </c>
      <c r="I293" cm="1">
        <f t="array" ref="I293">TREND($H$2:$H$421, $A$2:$A$421, A293)</f>
        <v>1.0016891923033571</v>
      </c>
      <c r="J293">
        <f t="shared" si="18"/>
        <v>-3.0873793786544534E-2</v>
      </c>
      <c r="K293">
        <f t="shared" si="19"/>
        <v>-1.1289888781289825</v>
      </c>
    </row>
    <row r="294" spans="1:11" x14ac:dyDescent="0.35">
      <c r="A294" s="1">
        <v>2005.33333333378</v>
      </c>
      <c r="B294">
        <v>380.2</v>
      </c>
      <c r="C294" cm="1">
        <f t="array" ref="C294">TREND($B$2:$B$421, $A$2:$A$421, A294)</f>
        <v>392.58386691136548</v>
      </c>
      <c r="D294">
        <f t="shared" si="16"/>
        <v>-12.383866911365487</v>
      </c>
      <c r="E294">
        <f t="shared" si="17"/>
        <v>-8.7422953715101517E-2</v>
      </c>
      <c r="G294" s="7">
        <v>2005.3333333333333</v>
      </c>
      <c r="H294">
        <v>0.97392818710598839</v>
      </c>
      <c r="I294" cm="1">
        <f t="array" ref="I294">TREND($H$2:$H$421, $A$2:$A$421, A294)</f>
        <v>1.0015802175940705</v>
      </c>
      <c r="J294">
        <f t="shared" si="18"/>
        <v>-2.7652030488082069E-2</v>
      </c>
      <c r="K294">
        <f t="shared" si="19"/>
        <v>-1.0111758566041236</v>
      </c>
    </row>
    <row r="295" spans="1:11" x14ac:dyDescent="0.35">
      <c r="A295" s="1">
        <v>2005.4166666671099</v>
      </c>
      <c r="B295">
        <v>463.6</v>
      </c>
      <c r="C295" cm="1">
        <f t="array" ref="C295">TREND($B$2:$B$421, $A$2:$A$421, A295)</f>
        <v>392.9537016618051</v>
      </c>
      <c r="D295">
        <f t="shared" si="16"/>
        <v>70.646298338194924</v>
      </c>
      <c r="E295">
        <f t="shared" si="17"/>
        <v>0.49872209657665567</v>
      </c>
      <c r="G295" s="7">
        <v>2005.4166666666665</v>
      </c>
      <c r="H295">
        <v>0.9768810794367031</v>
      </c>
      <c r="I295" cm="1">
        <f t="array" ref="I295">TREND($H$2:$H$421, $A$2:$A$421, A295)</f>
        <v>1.0014712428847847</v>
      </c>
      <c r="J295">
        <f t="shared" si="18"/>
        <v>-2.4590163448081626E-2</v>
      </c>
      <c r="K295">
        <f t="shared" si="19"/>
        <v>-0.89920990067496509</v>
      </c>
    </row>
    <row r="296" spans="1:11" x14ac:dyDescent="0.35">
      <c r="A296" s="1">
        <v>2005.50000000044</v>
      </c>
      <c r="B296">
        <v>466.4</v>
      </c>
      <c r="C296" cm="1">
        <f t="array" ref="C296">TREND($B$2:$B$421, $A$2:$A$421, A296)</f>
        <v>393.32353641224654</v>
      </c>
      <c r="D296">
        <f t="shared" si="16"/>
        <v>73.076463587753437</v>
      </c>
      <c r="E296">
        <f t="shared" si="17"/>
        <v>0.51587766080007258</v>
      </c>
      <c r="G296" s="7">
        <v>2005.5</v>
      </c>
      <c r="H296">
        <v>0.9823969718986908</v>
      </c>
      <c r="I296" cm="1">
        <f t="array" ref="I296">TREND($H$2:$H$421, $A$2:$A$421, A296)</f>
        <v>1.0013622681754981</v>
      </c>
      <c r="J296">
        <f t="shared" si="18"/>
        <v>-1.896529627680732E-2</v>
      </c>
      <c r="K296">
        <f t="shared" si="19"/>
        <v>-0.69352048909092134</v>
      </c>
    </row>
    <row r="297" spans="1:11" x14ac:dyDescent="0.35">
      <c r="A297" s="1">
        <v>2005.58333333377</v>
      </c>
      <c r="B297">
        <v>397.4</v>
      </c>
      <c r="C297" cm="1">
        <f t="array" ref="C297">TREND($B$2:$B$421, $A$2:$A$421, A297)</f>
        <v>393.69337116268616</v>
      </c>
      <c r="D297">
        <f t="shared" si="16"/>
        <v>3.706628837313815</v>
      </c>
      <c r="E297">
        <f t="shared" si="17"/>
        <v>2.6166660511022979E-2</v>
      </c>
      <c r="G297" s="7">
        <v>2005.5833333333333</v>
      </c>
      <c r="H297">
        <v>0.99468243137808654</v>
      </c>
      <c r="I297" cm="1">
        <f t="array" ref="I297">TREND($H$2:$H$421, $A$2:$A$421, A297)</f>
        <v>1.0012532934662119</v>
      </c>
      <c r="J297">
        <f t="shared" si="18"/>
        <v>-6.5708620881254065E-3</v>
      </c>
      <c r="K297">
        <f t="shared" si="19"/>
        <v>-0.24028243074054542</v>
      </c>
    </row>
    <row r="298" spans="1:11" x14ac:dyDescent="0.35">
      <c r="A298" s="1">
        <v>2005.6666666670999</v>
      </c>
      <c r="B298">
        <v>389.9</v>
      </c>
      <c r="C298" cm="1">
        <f t="array" ref="C298">TREND($B$2:$B$421, $A$2:$A$421, A298)</f>
        <v>394.06320591312578</v>
      </c>
      <c r="D298">
        <f t="shared" si="16"/>
        <v>-4.1632059131258075</v>
      </c>
      <c r="E298">
        <f t="shared" si="17"/>
        <v>-2.9389831177504315E-2</v>
      </c>
      <c r="G298" s="7">
        <v>2005.6666666666665</v>
      </c>
      <c r="H298">
        <v>1.0114232217951653</v>
      </c>
      <c r="I298" cm="1">
        <f t="array" ref="I298">TREND($H$2:$H$421, $A$2:$A$421, A298)</f>
        <v>1.0011443187569262</v>
      </c>
      <c r="J298">
        <f t="shared" si="18"/>
        <v>1.0278903038239084E-2</v>
      </c>
      <c r="K298">
        <f t="shared" si="19"/>
        <v>0.37587759022330552</v>
      </c>
    </row>
    <row r="299" spans="1:11" x14ac:dyDescent="0.35">
      <c r="A299" s="1">
        <v>2005.75000000043</v>
      </c>
      <c r="B299">
        <v>442.1</v>
      </c>
      <c r="C299" cm="1">
        <f t="array" ref="C299">TREND($B$2:$B$421, $A$2:$A$421, A299)</f>
        <v>394.43304066356723</v>
      </c>
      <c r="D299">
        <f t="shared" si="16"/>
        <v>47.666959336432797</v>
      </c>
      <c r="E299">
        <f t="shared" si="17"/>
        <v>0.33650122450714587</v>
      </c>
      <c r="G299" s="7">
        <v>2005.75</v>
      </c>
      <c r="H299">
        <v>1.0286368935551229</v>
      </c>
      <c r="I299" cm="1">
        <f t="array" ref="I299">TREND($H$2:$H$421, $A$2:$A$421, A299)</f>
        <v>1.0010353440476396</v>
      </c>
      <c r="J299">
        <f t="shared" si="18"/>
        <v>2.7601549507483281E-2</v>
      </c>
      <c r="K299">
        <f t="shared" si="19"/>
        <v>1.0093298746672137</v>
      </c>
    </row>
    <row r="300" spans="1:11" x14ac:dyDescent="0.35">
      <c r="A300" s="1">
        <v>2005.83333333376</v>
      </c>
      <c r="B300">
        <v>519.70000000000005</v>
      </c>
      <c r="C300" cm="1">
        <f t="array" ref="C300">TREND($B$2:$B$421, $A$2:$A$421, A300)</f>
        <v>394.80287541400685</v>
      </c>
      <c r="D300">
        <f t="shared" si="16"/>
        <v>124.8971245859932</v>
      </c>
      <c r="E300">
        <f t="shared" si="17"/>
        <v>0.88170162195527646</v>
      </c>
      <c r="G300" s="7">
        <v>2005.8333333333333</v>
      </c>
      <c r="H300">
        <v>1.0425107714035204</v>
      </c>
      <c r="I300" cm="1">
        <f t="array" ref="I300">TREND($H$2:$H$421, $A$2:$A$421, A300)</f>
        <v>1.0009263693383534</v>
      </c>
      <c r="J300">
        <f t="shared" si="18"/>
        <v>4.1584402065167003E-2</v>
      </c>
      <c r="K300">
        <f t="shared" si="19"/>
        <v>1.5206530094684261</v>
      </c>
    </row>
    <row r="301" spans="1:11" x14ac:dyDescent="0.35">
      <c r="A301" s="1">
        <v>2005.9166666670901</v>
      </c>
      <c r="B301">
        <v>562.79999999999995</v>
      </c>
      <c r="C301" cm="1">
        <f t="array" ref="C301">TREND($B$2:$B$421, $A$2:$A$421, A301)</f>
        <v>395.17271016444829</v>
      </c>
      <c r="D301">
        <f t="shared" si="16"/>
        <v>167.62728983555166</v>
      </c>
      <c r="E301">
        <f t="shared" si="17"/>
        <v>1.1833519292128565</v>
      </c>
      <c r="G301" s="7">
        <v>2005.9166666666665</v>
      </c>
      <c r="H301">
        <v>1.0488516812696649</v>
      </c>
      <c r="I301" cm="1">
        <f t="array" ref="I301">TREND($H$2:$H$421, $A$2:$A$421, A301)</f>
        <v>1.0008173946290673</v>
      </c>
      <c r="J301">
        <f t="shared" si="18"/>
        <v>4.8034286640597612E-2</v>
      </c>
      <c r="K301">
        <f t="shared" si="19"/>
        <v>1.7565115502497128</v>
      </c>
    </row>
    <row r="302" spans="1:11" x14ac:dyDescent="0.35">
      <c r="A302" s="1">
        <v>2006.00000000042</v>
      </c>
      <c r="B302">
        <v>508.5</v>
      </c>
      <c r="C302" cm="1">
        <f t="array" ref="C302">TREND($B$2:$B$421, $A$2:$A$421, A302)</f>
        <v>395.54254491488791</v>
      </c>
      <c r="D302">
        <f t="shared" si="16"/>
        <v>112.95745508511209</v>
      </c>
      <c r="E302">
        <f t="shared" si="17"/>
        <v>0.79741444561368813</v>
      </c>
      <c r="G302" s="7">
        <v>2006</v>
      </c>
      <c r="H302">
        <v>1.038298500588267</v>
      </c>
      <c r="I302" cm="1">
        <f t="array" ref="I302">TREND($H$2:$H$421, $A$2:$A$421, A302)</f>
        <v>1.0007084199197811</v>
      </c>
      <c r="J302">
        <f t="shared" si="18"/>
        <v>3.7590080668485903E-2</v>
      </c>
      <c r="K302">
        <f t="shared" si="19"/>
        <v>1.3745891838270534</v>
      </c>
    </row>
    <row r="303" spans="1:11" x14ac:dyDescent="0.35">
      <c r="A303" s="1">
        <v>2006.08333333375</v>
      </c>
      <c r="B303">
        <v>388.1</v>
      </c>
      <c r="C303" cm="1">
        <f t="array" ref="C303">TREND($B$2:$B$421, $A$2:$A$421, A303)</f>
        <v>395.91237966532753</v>
      </c>
      <c r="D303">
        <f t="shared" si="16"/>
        <v>-7.8123796653275122</v>
      </c>
      <c r="E303">
        <f t="shared" si="17"/>
        <v>-5.5150891944740987E-2</v>
      </c>
      <c r="G303" s="7">
        <v>2006.0833333333333</v>
      </c>
      <c r="H303">
        <v>1.0030730444045188</v>
      </c>
      <c r="I303" cm="1">
        <f t="array" ref="I303">TREND($H$2:$H$421, $A$2:$A$421, A303)</f>
        <v>1.0005994452104949</v>
      </c>
      <c r="J303">
        <f t="shared" si="18"/>
        <v>2.473599194023901E-3</v>
      </c>
      <c r="K303">
        <f t="shared" si="19"/>
        <v>9.0454253802086645E-2</v>
      </c>
    </row>
    <row r="304" spans="1:11" x14ac:dyDescent="0.35">
      <c r="A304" s="1">
        <v>2006.1666666670801</v>
      </c>
      <c r="B304">
        <v>277.7</v>
      </c>
      <c r="C304" cm="1">
        <f t="array" ref="C304">TREND($B$2:$B$421, $A$2:$A$421, A304)</f>
        <v>396.28221441576898</v>
      </c>
      <c r="D304">
        <f t="shared" si="16"/>
        <v>-118.58221441576899</v>
      </c>
      <c r="E304">
        <f t="shared" si="17"/>
        <v>-0.837122000462448</v>
      </c>
      <c r="G304" s="7">
        <v>2006.1666666666665</v>
      </c>
      <c r="H304">
        <v>0.97871835099338877</v>
      </c>
      <c r="I304" cm="1">
        <f t="array" ref="I304">TREND($H$2:$H$421, $A$2:$A$421, A304)</f>
        <v>1.0004904705012088</v>
      </c>
      <c r="J304">
        <f t="shared" si="18"/>
        <v>-2.1772119507819987E-2</v>
      </c>
      <c r="K304">
        <f t="shared" si="19"/>
        <v>-0.79616003616428377</v>
      </c>
    </row>
    <row r="305" spans="1:11" x14ac:dyDescent="0.35">
      <c r="A305" s="1">
        <v>2006.25000000041</v>
      </c>
      <c r="B305">
        <v>383.4</v>
      </c>
      <c r="C305" cm="1">
        <f t="array" ref="C305">TREND($B$2:$B$421, $A$2:$A$421, A305)</f>
        <v>396.6520491662086</v>
      </c>
      <c r="D305">
        <f t="shared" si="16"/>
        <v>-13.252049166208622</v>
      </c>
      <c r="E305">
        <f t="shared" si="17"/>
        <v>-9.3551819409851342E-2</v>
      </c>
      <c r="G305" s="7">
        <v>2006.25</v>
      </c>
      <c r="H305">
        <v>0.97896811665158345</v>
      </c>
      <c r="I305" cm="1">
        <f t="array" ref="I305">TREND($H$2:$H$421, $A$2:$A$421, A305)</f>
        <v>1.0003814957919226</v>
      </c>
      <c r="J305">
        <f t="shared" si="18"/>
        <v>-2.1413379140339139E-2</v>
      </c>
      <c r="K305">
        <f t="shared" si="19"/>
        <v>-0.78304166503626615</v>
      </c>
    </row>
    <row r="306" spans="1:11" x14ac:dyDescent="0.35">
      <c r="A306" s="1">
        <v>2006.33333333374</v>
      </c>
      <c r="B306">
        <v>510.2</v>
      </c>
      <c r="C306" cm="1">
        <f t="array" ref="C306">TREND($B$2:$B$421, $A$2:$A$421, A306)</f>
        <v>397.02188391664822</v>
      </c>
      <c r="D306">
        <f t="shared" si="16"/>
        <v>113.17811608335177</v>
      </c>
      <c r="E306">
        <f t="shared" si="17"/>
        <v>0.79897218491869704</v>
      </c>
      <c r="G306" s="7">
        <v>2006.3333333333333</v>
      </c>
      <c r="H306">
        <v>0.98604597731730981</v>
      </c>
      <c r="I306" cm="1">
        <f t="array" ref="I306">TREND($H$2:$H$421, $A$2:$A$421, A306)</f>
        <v>1.0002725210826364</v>
      </c>
      <c r="J306">
        <f t="shared" si="18"/>
        <v>-1.4226543765326616E-2</v>
      </c>
      <c r="K306">
        <f t="shared" si="19"/>
        <v>-0.52023440320668235</v>
      </c>
    </row>
    <row r="307" spans="1:11" x14ac:dyDescent="0.35">
      <c r="A307" s="1">
        <v>2006.4166666670701</v>
      </c>
      <c r="B307">
        <v>592.9</v>
      </c>
      <c r="C307" cm="1">
        <f t="array" ref="C307">TREND($B$2:$B$421, $A$2:$A$421, A307)</f>
        <v>397.39171866708966</v>
      </c>
      <c r="D307">
        <f t="shared" si="16"/>
        <v>195.50828133291031</v>
      </c>
      <c r="E307">
        <f t="shared" si="17"/>
        <v>1.3801756391775897</v>
      </c>
      <c r="G307" s="7">
        <v>2006.4166666666665</v>
      </c>
      <c r="H307">
        <v>0.99250994485693256</v>
      </c>
      <c r="I307" cm="1">
        <f t="array" ref="I307">TREND($H$2:$H$421, $A$2:$A$421, A307)</f>
        <v>1.0001635463733503</v>
      </c>
      <c r="J307">
        <f t="shared" si="18"/>
        <v>-7.6536015164176963E-3</v>
      </c>
      <c r="K307">
        <f t="shared" si="19"/>
        <v>-0.27987590541700269</v>
      </c>
    </row>
    <row r="308" spans="1:11" x14ac:dyDescent="0.35">
      <c r="A308" s="1">
        <v>2006.5000000004</v>
      </c>
      <c r="B308">
        <v>579.9</v>
      </c>
      <c r="C308" cm="1">
        <f t="array" ref="C308">TREND($B$2:$B$421, $A$2:$A$421, A308)</f>
        <v>397.76155341752929</v>
      </c>
      <c r="D308">
        <f t="shared" si="16"/>
        <v>182.13844658247069</v>
      </c>
      <c r="E308">
        <f t="shared" si="17"/>
        <v>1.2857923215166578</v>
      </c>
      <c r="G308" s="7">
        <v>2006.5</v>
      </c>
      <c r="H308">
        <v>1.004177539434886</v>
      </c>
      <c r="I308" cm="1">
        <f t="array" ref="I308">TREND($H$2:$H$421, $A$2:$A$421, A308)</f>
        <v>1.0000545716640641</v>
      </c>
      <c r="J308">
        <f t="shared" si="18"/>
        <v>4.1229677708218837E-3</v>
      </c>
      <c r="K308">
        <f t="shared" si="19"/>
        <v>0.15076814952914439</v>
      </c>
    </row>
    <row r="309" spans="1:11" x14ac:dyDescent="0.35">
      <c r="A309" s="1">
        <v>2006.58333333373</v>
      </c>
      <c r="B309">
        <v>484.6</v>
      </c>
      <c r="C309" cm="1">
        <f t="array" ref="C309">TREND($B$2:$B$421, $A$2:$A$421, A309)</f>
        <v>398.13138816796891</v>
      </c>
      <c r="D309">
        <f t="shared" si="16"/>
        <v>86.468611832031115</v>
      </c>
      <c r="E309">
        <f t="shared" si="17"/>
        <v>0.61041849885047461</v>
      </c>
      <c r="G309" s="7">
        <v>2006.5833333333333</v>
      </c>
      <c r="H309">
        <v>1.0194369219543922</v>
      </c>
      <c r="I309" cm="1">
        <f t="array" ref="I309">TREND($H$2:$H$421, $A$2:$A$421, A309)</f>
        <v>0.99994559695477792</v>
      </c>
      <c r="J309">
        <f t="shared" si="18"/>
        <v>1.9491324999614257E-2</v>
      </c>
      <c r="K309">
        <f t="shared" si="19"/>
        <v>0.71275623905189556</v>
      </c>
    </row>
    <row r="310" spans="1:11" x14ac:dyDescent="0.35">
      <c r="A310" s="1">
        <v>2006.6666666670601</v>
      </c>
      <c r="B310">
        <v>474.7</v>
      </c>
      <c r="C310" cm="1">
        <f t="array" ref="C310">TREND($B$2:$B$421, $A$2:$A$421, A310)</f>
        <v>398.50122291841035</v>
      </c>
      <c r="D310">
        <f t="shared" si="16"/>
        <v>76.19877708158964</v>
      </c>
      <c r="E310">
        <f t="shared" si="17"/>
        <v>0.53791939219215779</v>
      </c>
      <c r="G310" s="7">
        <v>2006.6666666666665</v>
      </c>
      <c r="H310">
        <v>1.0251153611330239</v>
      </c>
      <c r="I310" cm="1">
        <f t="array" ref="I310">TREND($H$2:$H$421, $A$2:$A$421, A310)</f>
        <v>0.9998366222454913</v>
      </c>
      <c r="J310">
        <f t="shared" si="18"/>
        <v>2.5278738887532626E-2</v>
      </c>
      <c r="K310">
        <f t="shared" si="19"/>
        <v>0.92438963784192718</v>
      </c>
    </row>
    <row r="311" spans="1:11" x14ac:dyDescent="0.35">
      <c r="A311" s="1">
        <v>2006.7500000003899</v>
      </c>
      <c r="B311">
        <v>472.9</v>
      </c>
      <c r="C311" cm="1">
        <f t="array" ref="C311">TREND($B$2:$B$421, $A$2:$A$421, A311)</f>
        <v>398.87105766884997</v>
      </c>
      <c r="D311">
        <f t="shared" si="16"/>
        <v>74.028942331150006</v>
      </c>
      <c r="E311">
        <f t="shared" si="17"/>
        <v>0.52260161105684955</v>
      </c>
      <c r="G311" s="7">
        <v>2006.75</v>
      </c>
      <c r="H311">
        <v>1.0323642488823279</v>
      </c>
      <c r="I311" cm="1">
        <f t="array" ref="I311">TREND($H$2:$H$421, $A$2:$A$421, A311)</f>
        <v>0.99972764753620558</v>
      </c>
      <c r="J311">
        <f t="shared" si="18"/>
        <v>3.263660134612234E-2</v>
      </c>
      <c r="K311">
        <f t="shared" si="19"/>
        <v>1.1934509958332089</v>
      </c>
    </row>
    <row r="312" spans="1:11" x14ac:dyDescent="0.35">
      <c r="A312" s="1">
        <v>2006.83333333372</v>
      </c>
      <c r="B312">
        <v>527.4</v>
      </c>
      <c r="C312" cm="1">
        <f t="array" ref="C312">TREND($B$2:$B$421, $A$2:$A$421, A312)</f>
        <v>399.24089241928959</v>
      </c>
      <c r="D312">
        <f t="shared" si="16"/>
        <v>128.15910758071038</v>
      </c>
      <c r="E312">
        <f t="shared" si="17"/>
        <v>0.9047293394208813</v>
      </c>
      <c r="G312" s="7">
        <v>2006.8333333333333</v>
      </c>
      <c r="H312">
        <v>1.0332663528957091</v>
      </c>
      <c r="I312" cm="1">
        <f t="array" ref="I312">TREND($H$2:$H$421, $A$2:$A$421, A312)</f>
        <v>0.99961867282691896</v>
      </c>
      <c r="J312">
        <f t="shared" si="18"/>
        <v>3.3647680068790153E-2</v>
      </c>
      <c r="K312">
        <f t="shared" si="19"/>
        <v>1.2304239911410384</v>
      </c>
    </row>
    <row r="313" spans="1:11" x14ac:dyDescent="0.35">
      <c r="A313" s="1">
        <v>2006.9166666670501</v>
      </c>
      <c r="B313">
        <v>588.6</v>
      </c>
      <c r="C313" cm="1">
        <f t="array" ref="C313">TREND($B$2:$B$421, $A$2:$A$421, A313)</f>
        <v>399.61072716973104</v>
      </c>
      <c r="D313">
        <f t="shared" si="16"/>
        <v>188.98927283026899</v>
      </c>
      <c r="E313">
        <f t="shared" si="17"/>
        <v>1.3341552012421933</v>
      </c>
      <c r="G313" s="7">
        <v>2006.9166666666665</v>
      </c>
      <c r="H313">
        <v>1.0290324284871795</v>
      </c>
      <c r="I313" cm="1">
        <f t="array" ref="I313">TREND($H$2:$H$421, $A$2:$A$421, A313)</f>
        <v>0.99950969811763279</v>
      </c>
      <c r="J313">
        <f t="shared" si="18"/>
        <v>2.9522730369546668E-2</v>
      </c>
      <c r="K313">
        <f t="shared" si="19"/>
        <v>1.0795833667109767</v>
      </c>
    </row>
    <row r="314" spans="1:11" x14ac:dyDescent="0.35">
      <c r="A314" s="1">
        <v>2007.0000000003799</v>
      </c>
      <c r="B314">
        <v>540.29999999999995</v>
      </c>
      <c r="C314" cm="1">
        <f t="array" ref="C314">TREND($B$2:$B$421, $A$2:$A$421, A314)</f>
        <v>399.98056192017066</v>
      </c>
      <c r="D314">
        <f t="shared" si="16"/>
        <v>140.3194380798293</v>
      </c>
      <c r="E314">
        <f t="shared" si="17"/>
        <v>0.99057425506746533</v>
      </c>
      <c r="G314" s="7">
        <v>2007</v>
      </c>
      <c r="H314">
        <v>1.0177828539072158</v>
      </c>
      <c r="I314" cm="1">
        <f t="array" ref="I314">TREND($H$2:$H$421, $A$2:$A$421, A314)</f>
        <v>0.99940072340834707</v>
      </c>
      <c r="J314">
        <f t="shared" si="18"/>
        <v>1.8382130498868721E-2</v>
      </c>
      <c r="K314">
        <f t="shared" si="19"/>
        <v>0.67219535872466829</v>
      </c>
    </row>
    <row r="315" spans="1:11" x14ac:dyDescent="0.35">
      <c r="A315" s="1">
        <v>2007.08333333371</v>
      </c>
      <c r="B315" s="2">
        <v>365.2</v>
      </c>
      <c r="C315" cm="1">
        <f t="array" ref="C315">TREND($B$2:$B$421, $A$2:$A$421, A315)</f>
        <v>400.35039667061028</v>
      </c>
      <c r="D315">
        <f t="shared" si="16"/>
        <v>-35.150396670610291</v>
      </c>
      <c r="E315">
        <f t="shared" si="17"/>
        <v>-0.24814151534378601</v>
      </c>
      <c r="G315" s="7">
        <v>2007.0833333333333</v>
      </c>
      <c r="H315">
        <v>0.99541325654750445</v>
      </c>
      <c r="I315" cm="1">
        <f t="array" ref="I315">TREND($H$2:$H$421, $A$2:$A$421, A315)</f>
        <v>0.99929174869906046</v>
      </c>
      <c r="J315">
        <f t="shared" si="18"/>
        <v>-3.8784921515560011E-3</v>
      </c>
      <c r="K315">
        <f t="shared" si="19"/>
        <v>-0.14182819686144219</v>
      </c>
    </row>
    <row r="316" spans="1:11" x14ac:dyDescent="0.35">
      <c r="A316" s="1">
        <v>2007.1666666670401</v>
      </c>
      <c r="B316">
        <v>190.1</v>
      </c>
      <c r="C316" cm="1">
        <f t="array" ref="C316">TREND($B$2:$B$421, $A$2:$A$421, A316)</f>
        <v>400.72023142105172</v>
      </c>
      <c r="D316">
        <f t="shared" si="16"/>
        <v>-210.62023142105173</v>
      </c>
      <c r="E316">
        <f t="shared" si="17"/>
        <v>-1.4868572857550504</v>
      </c>
      <c r="G316" s="7">
        <v>2007.1666666666665</v>
      </c>
      <c r="H316">
        <v>0.97721684690331312</v>
      </c>
      <c r="I316" cm="1">
        <f t="array" ref="I316">TREND($H$2:$H$421, $A$2:$A$421, A316)</f>
        <v>0.99918277398977429</v>
      </c>
      <c r="J316">
        <f t="shared" si="18"/>
        <v>-2.1965927086461168E-2</v>
      </c>
      <c r="K316">
        <f t="shared" si="19"/>
        <v>-0.80324716650841266</v>
      </c>
    </row>
    <row r="317" spans="1:11" x14ac:dyDescent="0.35">
      <c r="A317" s="1">
        <v>2007.2500000003699</v>
      </c>
      <c r="B317">
        <v>346.9</v>
      </c>
      <c r="C317" cm="1">
        <f t="array" ref="C317">TREND($B$2:$B$421, $A$2:$A$421, A317)</f>
        <v>401.09006617149134</v>
      </c>
      <c r="D317">
        <f t="shared" si="16"/>
        <v>-54.190066171491367</v>
      </c>
      <c r="E317">
        <f t="shared" si="17"/>
        <v>-0.38255059430429622</v>
      </c>
      <c r="G317" s="7">
        <v>2007.25</v>
      </c>
      <c r="H317">
        <v>0.97078114240742019</v>
      </c>
      <c r="I317" cm="1">
        <f t="array" ref="I317">TREND($H$2:$H$421, $A$2:$A$421, A317)</f>
        <v>0.99907379928048812</v>
      </c>
      <c r="J317">
        <f t="shared" si="18"/>
        <v>-2.8292656873067923E-2</v>
      </c>
      <c r="K317">
        <f t="shared" si="19"/>
        <v>-1.0346021989799741</v>
      </c>
    </row>
    <row r="318" spans="1:11" x14ac:dyDescent="0.35">
      <c r="A318" s="1">
        <v>2007.3333333337</v>
      </c>
      <c r="B318">
        <v>478.1</v>
      </c>
      <c r="C318" cm="1">
        <f t="array" ref="C318">TREND($B$2:$B$421, $A$2:$A$421, A318)</f>
        <v>401.45990092193097</v>
      </c>
      <c r="D318">
        <f t="shared" si="16"/>
        <v>76.640099078069056</v>
      </c>
      <c r="E318">
        <f t="shared" si="17"/>
        <v>0.54103487080217605</v>
      </c>
      <c r="G318" s="7">
        <v>2007.3333333333333</v>
      </c>
      <c r="H318">
        <v>0.97692304123306373</v>
      </c>
      <c r="I318" cm="1">
        <f t="array" ref="I318">TREND($H$2:$H$421, $A$2:$A$421, A318)</f>
        <v>0.99896482457120195</v>
      </c>
      <c r="J318">
        <f t="shared" si="18"/>
        <v>-2.2041783338138221E-2</v>
      </c>
      <c r="K318">
        <f t="shared" si="19"/>
        <v>-0.80602106805974294</v>
      </c>
    </row>
    <row r="319" spans="1:11" x14ac:dyDescent="0.35">
      <c r="A319" s="1">
        <v>2007.4166666670301</v>
      </c>
      <c r="B319">
        <v>581.79999999999995</v>
      </c>
      <c r="C319" cm="1">
        <f t="array" ref="C319">TREND($B$2:$B$421, $A$2:$A$421, A319)</f>
        <v>401.82973567237241</v>
      </c>
      <c r="D319">
        <f t="shared" si="16"/>
        <v>179.97026432762755</v>
      </c>
      <c r="E319">
        <f t="shared" si="17"/>
        <v>1.2704862060466124</v>
      </c>
      <c r="G319" s="7">
        <v>2007.4166666666665</v>
      </c>
      <c r="H319">
        <v>0.98323048636597699</v>
      </c>
      <c r="I319" cm="1">
        <f t="array" ref="I319">TREND($H$2:$H$421, $A$2:$A$421, A319)</f>
        <v>0.99885584986191578</v>
      </c>
      <c r="J319">
        <f t="shared" si="18"/>
        <v>-1.5625363495938793E-2</v>
      </c>
      <c r="K319">
        <f t="shared" si="19"/>
        <v>-0.57138626129341941</v>
      </c>
    </row>
    <row r="320" spans="1:11" x14ac:dyDescent="0.35">
      <c r="A320" s="1">
        <v>2007.5000000003599</v>
      </c>
      <c r="B320">
        <v>601.1</v>
      </c>
      <c r="C320" cm="1">
        <f t="array" ref="C320">TREND($B$2:$B$421, $A$2:$A$421, A320)</f>
        <v>402.19957042281203</v>
      </c>
      <c r="D320">
        <f t="shared" si="16"/>
        <v>198.90042957718799</v>
      </c>
      <c r="E320">
        <f t="shared" si="17"/>
        <v>1.4041222481872562</v>
      </c>
      <c r="G320" s="7">
        <v>2007.5</v>
      </c>
      <c r="H320">
        <v>0.99340635899553176</v>
      </c>
      <c r="I320" cm="1">
        <f t="array" ref="I320">TREND($H$2:$H$421, $A$2:$A$421, A320)</f>
        <v>0.99874687515262961</v>
      </c>
      <c r="J320">
        <f t="shared" si="18"/>
        <v>-5.3405161570978521E-3</v>
      </c>
      <c r="K320">
        <f t="shared" si="19"/>
        <v>-0.19529130065834871</v>
      </c>
    </row>
    <row r="321" spans="1:11" x14ac:dyDescent="0.35">
      <c r="A321" s="1">
        <v>2007.58333333369</v>
      </c>
      <c r="B321">
        <v>569.9</v>
      </c>
      <c r="C321" cm="1">
        <f t="array" ref="C321">TREND($B$2:$B$421, $A$2:$A$421, A321)</f>
        <v>402.56940517325165</v>
      </c>
      <c r="D321">
        <f t="shared" si="16"/>
        <v>167.33059482674832</v>
      </c>
      <c r="E321">
        <f t="shared" si="17"/>
        <v>1.1812574336721859</v>
      </c>
      <c r="G321" s="7">
        <v>2007.5833333333333</v>
      </c>
      <c r="H321">
        <v>1.0066497886987269</v>
      </c>
      <c r="I321" cm="1">
        <f t="array" ref="I321">TREND($H$2:$H$421, $A$2:$A$421, A321)</f>
        <v>0.99863790044334344</v>
      </c>
      <c r="J321">
        <f t="shared" si="18"/>
        <v>8.0118882553834592E-3</v>
      </c>
      <c r="K321">
        <f t="shared" si="19"/>
        <v>0.29297768831641968</v>
      </c>
    </row>
    <row r="322" spans="1:11" x14ac:dyDescent="0.35">
      <c r="A322" s="1">
        <v>2007.6666666670201</v>
      </c>
      <c r="B322">
        <v>595.6</v>
      </c>
      <c r="C322" cm="1">
        <f t="array" ref="C322">TREND($B$2:$B$421, $A$2:$A$421, A322)</f>
        <v>402.93923992369309</v>
      </c>
      <c r="D322">
        <f t="shared" si="16"/>
        <v>192.66076007630693</v>
      </c>
      <c r="E322">
        <f t="shared" si="17"/>
        <v>1.3600737823988873</v>
      </c>
      <c r="G322" s="7">
        <v>2007.6666666666665</v>
      </c>
      <c r="H322">
        <v>1.0280693105221228</v>
      </c>
      <c r="I322" cm="1">
        <f t="array" ref="I322">TREND($H$2:$H$421, $A$2:$A$421, A322)</f>
        <v>0.99852892573405727</v>
      </c>
      <c r="J322">
        <f t="shared" si="18"/>
        <v>2.9540384788065532E-2</v>
      </c>
      <c r="K322">
        <f t="shared" si="19"/>
        <v>1.0802289511926066</v>
      </c>
    </row>
    <row r="323" spans="1:11" x14ac:dyDescent="0.35">
      <c r="A323" s="1">
        <v>2007.7500000003499</v>
      </c>
      <c r="B323">
        <v>604.4</v>
      </c>
      <c r="C323" cm="1">
        <f t="array" ref="C323">TREND($B$2:$B$421, $A$2:$A$421, A323)</f>
        <v>403.30907467413272</v>
      </c>
      <c r="D323">
        <f t="shared" ref="D323:D386" si="20">B323 - C323</f>
        <v>201.09092532586726</v>
      </c>
      <c r="E323">
        <f t="shared" ref="E323:E386" si="21">(D323 - AVERAGE($D$2:$D$421)) / _xlfn.STDEV.S($D$2:$D$421)</f>
        <v>1.4195858840467583</v>
      </c>
      <c r="G323" s="7">
        <v>2007.75</v>
      </c>
      <c r="H323">
        <v>1.0464870390173293</v>
      </c>
      <c r="I323" cm="1">
        <f t="array" ref="I323">TREND($H$2:$H$421, $A$2:$A$421, A323)</f>
        <v>0.9984199510247711</v>
      </c>
      <c r="J323">
        <f t="shared" ref="J323:J386" si="22">H323 - I323</f>
        <v>4.8067087992558211E-2</v>
      </c>
      <c r="K323">
        <f t="shared" ref="K323:K386" si="23">(J323 - AVERAGE($J$2:$J$421)) / _xlfn.STDEV.S($J$2:$J$421)</f>
        <v>1.7577110258246014</v>
      </c>
    </row>
    <row r="324" spans="1:11" x14ac:dyDescent="0.35">
      <c r="A324" s="1">
        <v>2007.83333333368</v>
      </c>
      <c r="B324">
        <v>635.79999999999995</v>
      </c>
      <c r="C324" cm="1">
        <f t="array" ref="C324">TREND($B$2:$B$421, $A$2:$A$421, A324)</f>
        <v>403.67890942457234</v>
      </c>
      <c r="D324">
        <f t="shared" si="20"/>
        <v>232.12109057542762</v>
      </c>
      <c r="E324">
        <f t="shared" si="21"/>
        <v>1.6386409433266915</v>
      </c>
      <c r="G324" s="7">
        <v>2007.8333333333333</v>
      </c>
      <c r="H324">
        <v>1.0494263112494555</v>
      </c>
      <c r="I324" cm="1">
        <f t="array" ref="I324">TREND($H$2:$H$421, $A$2:$A$421, A324)</f>
        <v>0.99831097631548493</v>
      </c>
      <c r="J324">
        <f t="shared" si="22"/>
        <v>5.111533493397058E-2</v>
      </c>
      <c r="K324">
        <f t="shared" si="23"/>
        <v>1.8691789237589675</v>
      </c>
    </row>
    <row r="325" spans="1:11" x14ac:dyDescent="0.35">
      <c r="A325" s="1">
        <v>2007.9166666670101</v>
      </c>
      <c r="B325">
        <v>637.9</v>
      </c>
      <c r="C325" cm="1">
        <f t="array" ref="C325">TREND($B$2:$B$421, $A$2:$A$421, A325)</f>
        <v>404.04874417501378</v>
      </c>
      <c r="D325">
        <f t="shared" si="20"/>
        <v>233.8512558249862</v>
      </c>
      <c r="E325">
        <f t="shared" si="21"/>
        <v>1.6508549115172575</v>
      </c>
      <c r="G325" s="7">
        <v>2007.9166666666665</v>
      </c>
      <c r="H325">
        <v>1.0526886765322121</v>
      </c>
      <c r="I325" cm="1">
        <f t="array" ref="I325">TREND($H$2:$H$421, $A$2:$A$421, A325)</f>
        <v>0.99820200160619876</v>
      </c>
      <c r="J325">
        <f t="shared" si="22"/>
        <v>5.4486674926013334E-2</v>
      </c>
      <c r="K325">
        <f t="shared" si="23"/>
        <v>1.9924616463722964</v>
      </c>
    </row>
    <row r="326" spans="1:11" x14ac:dyDescent="0.35">
      <c r="A326" s="1">
        <v>2008.0000000003399</v>
      </c>
      <c r="B326">
        <v>556.6</v>
      </c>
      <c r="C326" cm="1">
        <f t="array" ref="C326">TREND($B$2:$B$421, $A$2:$A$421, A326)</f>
        <v>404.4185789254534</v>
      </c>
      <c r="D326">
        <f t="shared" si="20"/>
        <v>152.18142107454662</v>
      </c>
      <c r="E326">
        <f t="shared" si="21"/>
        <v>1.0743130095081035</v>
      </c>
      <c r="G326" s="7">
        <v>2008</v>
      </c>
      <c r="H326">
        <v>1.0396504448833255</v>
      </c>
      <c r="I326" cm="1">
        <f t="array" ref="I326">TREND($H$2:$H$421, $A$2:$A$421, A326)</f>
        <v>0.99809302689691259</v>
      </c>
      <c r="J326">
        <f t="shared" si="22"/>
        <v>4.1557417986412881E-2</v>
      </c>
      <c r="K326">
        <f t="shared" si="23"/>
        <v>1.5196662591840073</v>
      </c>
    </row>
    <row r="327" spans="1:11" x14ac:dyDescent="0.35">
      <c r="A327" s="1">
        <v>2008.08333333367</v>
      </c>
      <c r="B327">
        <v>434.3</v>
      </c>
      <c r="C327" cm="1">
        <f t="array" ref="C327">TREND($B$2:$B$421, $A$2:$A$421, A327)</f>
        <v>404.78841367589484</v>
      </c>
      <c r="D327">
        <f t="shared" si="20"/>
        <v>29.511586324105167</v>
      </c>
      <c r="E327">
        <f t="shared" si="21"/>
        <v>0.20833476843192167</v>
      </c>
      <c r="G327" s="7">
        <v>2008.0833333333333</v>
      </c>
      <c r="H327">
        <v>1.0042803686168864</v>
      </c>
      <c r="I327" cm="1">
        <f t="array" ref="I327">TREND($H$2:$H$421, $A$2:$A$421, A327)</f>
        <v>0.99798405218762642</v>
      </c>
      <c r="J327">
        <f t="shared" si="22"/>
        <v>6.2963164292599849E-3</v>
      </c>
      <c r="K327">
        <f t="shared" si="23"/>
        <v>0.23024288077330085</v>
      </c>
    </row>
    <row r="328" spans="1:11" x14ac:dyDescent="0.35">
      <c r="A328" s="1">
        <v>2008.1666666670001</v>
      </c>
      <c r="B328">
        <v>380.6</v>
      </c>
      <c r="C328" cm="1">
        <f t="array" ref="C328">TREND($B$2:$B$421, $A$2:$A$421, A328)</f>
        <v>405.15824842633447</v>
      </c>
      <c r="D328">
        <f t="shared" si="20"/>
        <v>-24.558248426334444</v>
      </c>
      <c r="E328">
        <f t="shared" si="21"/>
        <v>-0.17336706142480282</v>
      </c>
      <c r="G328" s="7">
        <v>2008.1666666666665</v>
      </c>
      <c r="H328">
        <v>0.98223838543800979</v>
      </c>
      <c r="I328" cm="1">
        <f t="array" ref="I328">TREND($H$2:$H$421, $A$2:$A$421, A328)</f>
        <v>0.99787507747833981</v>
      </c>
      <c r="J328">
        <f t="shared" si="22"/>
        <v>-1.5636692040330025E-2</v>
      </c>
      <c r="K328">
        <f t="shared" si="23"/>
        <v>-0.57180052203220377</v>
      </c>
    </row>
    <row r="329" spans="1:11" x14ac:dyDescent="0.35">
      <c r="A329" s="1">
        <v>2008.2500000003299</v>
      </c>
      <c r="B329">
        <v>374.5</v>
      </c>
      <c r="C329" cm="1">
        <f t="array" ref="C329">TREND($B$2:$B$421, $A$2:$A$421, A329)</f>
        <v>405.52808317677409</v>
      </c>
      <c r="D329">
        <f t="shared" si="20"/>
        <v>-31.028083176774089</v>
      </c>
      <c r="E329">
        <f t="shared" si="21"/>
        <v>-0.21904036104762734</v>
      </c>
      <c r="G329" s="7">
        <v>2008.25</v>
      </c>
      <c r="H329">
        <v>0.98188666454102336</v>
      </c>
      <c r="I329" cm="1">
        <f t="array" ref="I329">TREND($H$2:$H$421, $A$2:$A$421, A329)</f>
        <v>0.99776610276905409</v>
      </c>
      <c r="J329">
        <f t="shared" si="22"/>
        <v>-1.5879438228030729E-2</v>
      </c>
      <c r="K329">
        <f t="shared" si="23"/>
        <v>-0.58067723307125152</v>
      </c>
    </row>
    <row r="330" spans="1:11" x14ac:dyDescent="0.35">
      <c r="A330" s="1">
        <v>2008.33333333366</v>
      </c>
      <c r="B330">
        <v>475.4</v>
      </c>
      <c r="C330" cm="1">
        <f t="array" ref="C330">TREND($B$2:$B$421, $A$2:$A$421, A330)</f>
        <v>405.89791792721553</v>
      </c>
      <c r="D330">
        <f t="shared" si="20"/>
        <v>69.502082072784447</v>
      </c>
      <c r="E330">
        <f t="shared" si="21"/>
        <v>0.49064459006540345</v>
      </c>
      <c r="G330" s="7">
        <v>2008.3333333333333</v>
      </c>
      <c r="H330">
        <v>0.98304712660796578</v>
      </c>
      <c r="I330" cm="1">
        <f t="array" ref="I330">TREND($H$2:$H$421, $A$2:$A$421, A330)</f>
        <v>0.99765712805976792</v>
      </c>
      <c r="J330">
        <f t="shared" si="22"/>
        <v>-1.4610001451802135E-2</v>
      </c>
      <c r="K330">
        <f t="shared" si="23"/>
        <v>-0.5342566340428746</v>
      </c>
    </row>
    <row r="331" spans="1:11" x14ac:dyDescent="0.35">
      <c r="A331" s="1">
        <v>2008.4166666669901</v>
      </c>
      <c r="B331">
        <v>578.70000000000005</v>
      </c>
      <c r="C331" cm="1">
        <f t="array" ref="C331">TREND($B$2:$B$421, $A$2:$A$421, A331)</f>
        <v>406.26775267765515</v>
      </c>
      <c r="D331">
        <f t="shared" si="20"/>
        <v>172.43224732234489</v>
      </c>
      <c r="E331">
        <f t="shared" si="21"/>
        <v>1.2172721561482243</v>
      </c>
      <c r="G331" s="7">
        <v>2008.4166666666665</v>
      </c>
      <c r="H331">
        <v>0.98173400923349341</v>
      </c>
      <c r="I331" cm="1">
        <f t="array" ref="I331">TREND($H$2:$H$421, $A$2:$A$421, A331)</f>
        <v>0.9975481533504813</v>
      </c>
      <c r="J331">
        <f t="shared" si="22"/>
        <v>-1.5814144116987894E-2</v>
      </c>
      <c r="K331">
        <f t="shared" si="23"/>
        <v>-0.57828956650573837</v>
      </c>
    </row>
    <row r="332" spans="1:11" x14ac:dyDescent="0.35">
      <c r="A332" s="1">
        <v>2008.5000000003199</v>
      </c>
      <c r="B332">
        <v>633.70000000000005</v>
      </c>
      <c r="C332" cm="1">
        <f t="array" ref="C332">TREND($B$2:$B$421, $A$2:$A$421, A332)</f>
        <v>406.63758742809478</v>
      </c>
      <c r="D332">
        <f t="shared" si="20"/>
        <v>227.06241257190527</v>
      </c>
      <c r="E332">
        <f t="shared" si="21"/>
        <v>1.6029295959642929</v>
      </c>
      <c r="G332" s="7">
        <v>2008.5</v>
      </c>
      <c r="H332">
        <v>0.9862353769830885</v>
      </c>
      <c r="I332" cm="1">
        <f t="array" ref="I332">TREND($H$2:$H$421, $A$2:$A$421, A332)</f>
        <v>0.99743917864119558</v>
      </c>
      <c r="J332">
        <f t="shared" si="22"/>
        <v>-1.1203801658107082E-2</v>
      </c>
      <c r="K332">
        <f t="shared" si="23"/>
        <v>-0.40969916273389395</v>
      </c>
    </row>
    <row r="333" spans="1:11" x14ac:dyDescent="0.35">
      <c r="A333" s="1">
        <v>2008.58333333365</v>
      </c>
      <c r="B333">
        <v>641</v>
      </c>
      <c r="C333" cm="1">
        <f t="array" ref="C333">TREND($B$2:$B$421, $A$2:$A$421, A333)</f>
        <v>407.00742217853622</v>
      </c>
      <c r="D333">
        <f t="shared" si="20"/>
        <v>233.99257782146378</v>
      </c>
      <c r="E333">
        <f t="shared" si="21"/>
        <v>1.6518525632560406</v>
      </c>
      <c r="G333" s="7">
        <v>2008.5833333333333</v>
      </c>
      <c r="H333">
        <v>0.99719940463234402</v>
      </c>
      <c r="I333" cm="1">
        <f t="array" ref="I333">TREND($H$2:$H$421, $A$2:$A$421, A333)</f>
        <v>0.99733020393190897</v>
      </c>
      <c r="J333">
        <f t="shared" si="22"/>
        <v>-1.3079929956494318E-4</v>
      </c>
      <c r="K333">
        <f t="shared" si="23"/>
        <v>-4.7830517848643063E-3</v>
      </c>
    </row>
    <row r="334" spans="1:11" x14ac:dyDescent="0.35">
      <c r="A334" s="1">
        <v>2008.6666666669801</v>
      </c>
      <c r="B334">
        <v>649.79999999999995</v>
      </c>
      <c r="C334" cm="1">
        <f t="array" ref="C334">TREND($B$2:$B$421, $A$2:$A$421, A334)</f>
        <v>407.37725692897584</v>
      </c>
      <c r="D334">
        <f t="shared" si="20"/>
        <v>242.42274307102412</v>
      </c>
      <c r="E334">
        <f t="shared" si="21"/>
        <v>1.7113646649039116</v>
      </c>
      <c r="G334" s="7">
        <v>2008.6666666666665</v>
      </c>
      <c r="H334">
        <v>1.007688050826014</v>
      </c>
      <c r="I334" cm="1">
        <f t="array" ref="I334">TREND($H$2:$H$421, $A$2:$A$421, A334)</f>
        <v>0.9972212292226228</v>
      </c>
      <c r="J334">
        <f t="shared" si="22"/>
        <v>1.0466821603391185E-2</v>
      </c>
      <c r="K334">
        <f t="shared" si="23"/>
        <v>0.3827493718876353</v>
      </c>
    </row>
    <row r="335" spans="1:11" x14ac:dyDescent="0.35">
      <c r="A335" s="1">
        <v>2008.7500000003099</v>
      </c>
      <c r="B335">
        <v>653.4</v>
      </c>
      <c r="C335" cm="1">
        <f t="array" ref="C335">TREND($B$2:$B$421, $A$2:$A$421, A335)</f>
        <v>407.74709167941546</v>
      </c>
      <c r="D335">
        <f t="shared" si="20"/>
        <v>245.65290832058452</v>
      </c>
      <c r="E335">
        <f t="shared" si="21"/>
        <v>1.7341677674506006</v>
      </c>
      <c r="G335" s="7">
        <v>2008.75</v>
      </c>
      <c r="H335">
        <v>1.0188641237922611</v>
      </c>
      <c r="I335" cm="1">
        <f t="array" ref="I335">TREND($H$2:$H$421, $A$2:$A$421, A335)</f>
        <v>0.99711225451333707</v>
      </c>
      <c r="J335">
        <f t="shared" si="22"/>
        <v>2.175186927892403E-2</v>
      </c>
      <c r="K335">
        <f t="shared" si="23"/>
        <v>0.79541952842616981</v>
      </c>
    </row>
    <row r="336" spans="1:11" x14ac:dyDescent="0.35">
      <c r="A336" s="1">
        <v>2008.83333333364</v>
      </c>
      <c r="B336">
        <v>679.9</v>
      </c>
      <c r="C336" cm="1">
        <f t="array" ref="C336">TREND($B$2:$B$421, $A$2:$A$421, A336)</f>
        <v>408.1169264298569</v>
      </c>
      <c r="D336">
        <f t="shared" si="20"/>
        <v>271.78307357014307</v>
      </c>
      <c r="E336">
        <f t="shared" si="21"/>
        <v>1.9186316545005608</v>
      </c>
      <c r="G336" s="7">
        <v>2008.8333333333333</v>
      </c>
      <c r="H336">
        <v>1.0258137694934377</v>
      </c>
      <c r="I336" cm="1">
        <f t="array" ref="I336">TREND($H$2:$H$421, $A$2:$A$421, A336)</f>
        <v>0.99700327980405046</v>
      </c>
      <c r="J336">
        <f t="shared" si="22"/>
        <v>2.8810489689387264E-2</v>
      </c>
      <c r="K336">
        <f t="shared" si="23"/>
        <v>1.0535382420978354</v>
      </c>
    </row>
    <row r="337" spans="1:11" x14ac:dyDescent="0.35">
      <c r="A337" s="1">
        <v>2008.9166666669701</v>
      </c>
      <c r="B337">
        <v>668.1</v>
      </c>
      <c r="C337" cm="1">
        <f t="array" ref="C337">TREND($B$2:$B$421, $A$2:$A$421, A337)</f>
        <v>408.48676118029653</v>
      </c>
      <c r="D337">
        <f t="shared" si="20"/>
        <v>259.6132388197035</v>
      </c>
      <c r="E337">
        <f t="shared" si="21"/>
        <v>1.8327196443245175</v>
      </c>
      <c r="G337" s="7">
        <v>2008.9166666666665</v>
      </c>
      <c r="H337">
        <v>1.0315634197126091</v>
      </c>
      <c r="I337" cm="1">
        <f t="array" ref="I337">TREND($H$2:$H$421, $A$2:$A$421, A337)</f>
        <v>0.99689430509476429</v>
      </c>
      <c r="J337">
        <f t="shared" si="22"/>
        <v>3.4669114617844832E-2</v>
      </c>
      <c r="K337">
        <f t="shared" si="23"/>
        <v>1.2677756769621051</v>
      </c>
    </row>
    <row r="338" spans="1:11" x14ac:dyDescent="0.35">
      <c r="A338" s="1">
        <v>2009.0000000002999</v>
      </c>
      <c r="B338">
        <v>589.6</v>
      </c>
      <c r="C338" cm="1">
        <f t="array" ref="C338">TREND($B$2:$B$421, $A$2:$A$421, A338)</f>
        <v>408.85659593073615</v>
      </c>
      <c r="D338">
        <f t="shared" si="20"/>
        <v>180.74340406926387</v>
      </c>
      <c r="E338">
        <f t="shared" si="21"/>
        <v>1.2759441264467695</v>
      </c>
      <c r="G338" s="7">
        <v>2009</v>
      </c>
      <c r="H338">
        <v>1.0224019769511523</v>
      </c>
      <c r="I338" cm="1">
        <f t="array" ref="I338">TREND($H$2:$H$421, $A$2:$A$421, A338)</f>
        <v>0.99678533038547812</v>
      </c>
      <c r="J338">
        <f t="shared" si="22"/>
        <v>2.5616646565674195E-2</v>
      </c>
      <c r="K338">
        <f t="shared" si="23"/>
        <v>0.9367462018940742</v>
      </c>
    </row>
    <row r="339" spans="1:11" x14ac:dyDescent="0.35">
      <c r="A339" s="1">
        <v>2009.08333333363</v>
      </c>
      <c r="B339">
        <v>479.6</v>
      </c>
      <c r="C339" cm="1">
        <f t="array" ref="C339">TREND($B$2:$B$421, $A$2:$A$421, A339)</f>
        <v>409.22643068117759</v>
      </c>
      <c r="D339">
        <f t="shared" si="20"/>
        <v>70.373569318822433</v>
      </c>
      <c r="E339">
        <f t="shared" si="21"/>
        <v>0.49679678709069197</v>
      </c>
      <c r="G339" s="7">
        <v>2009.0833333333333</v>
      </c>
      <c r="H339">
        <v>0.99344430298342501</v>
      </c>
      <c r="I339" cm="1">
        <f t="array" ref="I339">TREND($H$2:$H$421, $A$2:$A$421, A339)</f>
        <v>0.99667635567619195</v>
      </c>
      <c r="J339">
        <f t="shared" si="22"/>
        <v>-3.2320526927669402E-3</v>
      </c>
      <c r="K339">
        <f t="shared" si="23"/>
        <v>-0.11818928275835477</v>
      </c>
    </row>
    <row r="340" spans="1:11" x14ac:dyDescent="0.35">
      <c r="A340" s="1">
        <v>2009.1666666669601</v>
      </c>
      <c r="B340">
        <v>359.6</v>
      </c>
      <c r="C340" cm="1">
        <f t="array" ref="C340">TREND($B$2:$B$421, $A$2:$A$421, A340)</f>
        <v>409.59626543161721</v>
      </c>
      <c r="D340">
        <f t="shared" si="20"/>
        <v>-49.996265431617189</v>
      </c>
      <c r="E340">
        <f t="shared" si="21"/>
        <v>-0.3529447813061079</v>
      </c>
      <c r="G340" s="7">
        <v>2009.1666666666665</v>
      </c>
      <c r="H340">
        <v>0.96547785183585921</v>
      </c>
      <c r="I340" cm="1">
        <f t="array" ref="I340">TREND($H$2:$H$421, $A$2:$A$421, A340)</f>
        <v>0.99656738096690578</v>
      </c>
      <c r="J340">
        <f t="shared" si="22"/>
        <v>-3.1089529131046567E-2</v>
      </c>
      <c r="K340">
        <f t="shared" si="23"/>
        <v>-1.1368778601648821</v>
      </c>
    </row>
    <row r="341" spans="1:11" x14ac:dyDescent="0.35">
      <c r="A341" s="1">
        <v>2009.2500000002899</v>
      </c>
      <c r="B341">
        <v>394.5</v>
      </c>
      <c r="C341" cm="1">
        <f t="array" ref="C341">TREND($B$2:$B$421, $A$2:$A$421, A341)</f>
        <v>409.96610018205683</v>
      </c>
      <c r="D341">
        <f t="shared" si="20"/>
        <v>-15.466100182056834</v>
      </c>
      <c r="E341">
        <f t="shared" si="21"/>
        <v>-0.10918174186191749</v>
      </c>
      <c r="G341" s="7">
        <v>2009.25</v>
      </c>
      <c r="H341">
        <v>0.96277662710182854</v>
      </c>
      <c r="I341" cm="1">
        <f t="array" ref="I341">TREND($H$2:$H$421, $A$2:$A$421, A341)</f>
        <v>0.99645840625761961</v>
      </c>
      <c r="J341">
        <f t="shared" si="22"/>
        <v>-3.368177915579107E-2</v>
      </c>
      <c r="K341">
        <f t="shared" si="23"/>
        <v>-1.2316709221222233</v>
      </c>
    </row>
    <row r="342" spans="1:11" x14ac:dyDescent="0.35">
      <c r="A342" s="1">
        <v>2009.33333333362</v>
      </c>
      <c r="B342">
        <v>454.6</v>
      </c>
      <c r="C342" cm="1">
        <f t="array" ref="C342">TREND($B$2:$B$421, $A$2:$A$421, A342)</f>
        <v>410.33593493249828</v>
      </c>
      <c r="D342">
        <f t="shared" si="20"/>
        <v>44.264065067501747</v>
      </c>
      <c r="E342">
        <f t="shared" si="21"/>
        <v>0.31247875476491344</v>
      </c>
      <c r="G342" s="7">
        <v>2009.3333333333333</v>
      </c>
      <c r="H342">
        <v>0.96701884809858285</v>
      </c>
      <c r="I342" cm="1">
        <f t="array" ref="I342">TREND($H$2:$H$421, $A$2:$A$421, A342)</f>
        <v>0.99634943154833344</v>
      </c>
      <c r="J342">
        <f t="shared" si="22"/>
        <v>-2.9330583449750591E-2</v>
      </c>
      <c r="K342">
        <f t="shared" si="23"/>
        <v>-1.0725569631236636</v>
      </c>
    </row>
    <row r="343" spans="1:11" x14ac:dyDescent="0.35">
      <c r="A343" s="1">
        <v>2009.4166666669501</v>
      </c>
      <c r="B343">
        <v>476.9</v>
      </c>
      <c r="C343" cm="1">
        <f t="array" ref="C343">TREND($B$2:$B$421, $A$2:$A$421, A343)</f>
        <v>410.7057696829379</v>
      </c>
      <c r="D343">
        <f t="shared" si="20"/>
        <v>66.194230317062079</v>
      </c>
      <c r="E343">
        <f t="shared" si="21"/>
        <v>0.46729306561777711</v>
      </c>
      <c r="G343" s="7">
        <v>2009.4166666666665</v>
      </c>
      <c r="H343">
        <v>0.97366319477501417</v>
      </c>
      <c r="I343" cm="1">
        <f t="array" ref="I343">TREND($H$2:$H$421, $A$2:$A$421, A343)</f>
        <v>0.99624045683904727</v>
      </c>
      <c r="J343">
        <f t="shared" si="22"/>
        <v>-2.2577262064033099E-2</v>
      </c>
      <c r="K343">
        <f t="shared" si="23"/>
        <v>-0.82560238450532542</v>
      </c>
    </row>
    <row r="344" spans="1:11" x14ac:dyDescent="0.35">
      <c r="A344" s="1">
        <v>2009.5000000002799</v>
      </c>
      <c r="B344">
        <v>460.8</v>
      </c>
      <c r="C344" cm="1">
        <f t="array" ref="C344">TREND($B$2:$B$421, $A$2:$A$421, A344)</f>
        <v>411.07560443337752</v>
      </c>
      <c r="D344">
        <f t="shared" si="20"/>
        <v>49.724395566622491</v>
      </c>
      <c r="E344">
        <f t="shared" si="21"/>
        <v>0.35102553695421768</v>
      </c>
      <c r="G344" s="7">
        <v>2009.5</v>
      </c>
      <c r="H344">
        <v>0.9782336819740779</v>
      </c>
      <c r="I344" cm="1">
        <f t="array" ref="I344">TREND($H$2:$H$421, $A$2:$A$421, A344)</f>
        <v>0.9961314821297611</v>
      </c>
      <c r="J344">
        <f t="shared" si="22"/>
        <v>-1.7897800155683208E-2</v>
      </c>
      <c r="K344">
        <f t="shared" si="23"/>
        <v>-0.65448442968962461</v>
      </c>
    </row>
    <row r="345" spans="1:11" x14ac:dyDescent="0.35">
      <c r="A345" s="1">
        <v>2009.58333333361</v>
      </c>
      <c r="B345">
        <v>369.3</v>
      </c>
      <c r="C345" cm="1">
        <f t="array" ref="C345">TREND($B$2:$B$421, $A$2:$A$421, A345)</f>
        <v>411.44543918381896</v>
      </c>
      <c r="D345">
        <f t="shared" si="20"/>
        <v>-42.145439183818951</v>
      </c>
      <c r="E345">
        <f t="shared" si="21"/>
        <v>-0.29752247867649934</v>
      </c>
      <c r="G345" s="7">
        <v>2009.5833333333333</v>
      </c>
      <c r="H345">
        <v>0.98948618473731731</v>
      </c>
      <c r="I345" cm="1">
        <f t="array" ref="I345">TREND($H$2:$H$421, $A$2:$A$421, A345)</f>
        <v>0.99602250742047493</v>
      </c>
      <c r="J345">
        <f t="shared" si="22"/>
        <v>-6.5363226831576249E-3</v>
      </c>
      <c r="K345">
        <f t="shared" si="23"/>
        <v>-0.23901939826920682</v>
      </c>
    </row>
    <row r="346" spans="1:11" x14ac:dyDescent="0.35">
      <c r="A346" s="1">
        <v>2009.66666666694</v>
      </c>
      <c r="B346">
        <v>369.2</v>
      </c>
      <c r="C346" cm="1">
        <f t="array" ref="C346">TREND($B$2:$B$421, $A$2:$A$421, A346)</f>
        <v>411.81527393425858</v>
      </c>
      <c r="D346">
        <f t="shared" si="20"/>
        <v>-42.615273934258596</v>
      </c>
      <c r="E346">
        <f t="shared" si="21"/>
        <v>-0.30083924087488262</v>
      </c>
      <c r="G346" s="7">
        <v>2009.6666666666665</v>
      </c>
      <c r="H346">
        <v>1.0067454853025932</v>
      </c>
      <c r="I346" cm="1">
        <f t="array" ref="I346">TREND($H$2:$H$421, $A$2:$A$421, A346)</f>
        <v>0.99591353271118876</v>
      </c>
      <c r="J346">
        <f t="shared" si="22"/>
        <v>1.0831952591404459E-2</v>
      </c>
      <c r="K346">
        <f t="shared" si="23"/>
        <v>0.39610143439661294</v>
      </c>
    </row>
    <row r="347" spans="1:11" x14ac:dyDescent="0.35">
      <c r="A347" s="1">
        <v>2009.7500000002699</v>
      </c>
      <c r="B347">
        <v>323.7</v>
      </c>
      <c r="C347" cm="1">
        <f t="array" ref="C347">TREND($B$2:$B$421, $A$2:$A$421, A347)</f>
        <v>412.18510868469821</v>
      </c>
      <c r="D347">
        <f t="shared" si="20"/>
        <v>-88.485108684698218</v>
      </c>
      <c r="E347">
        <f t="shared" si="21"/>
        <v>-0.62465380291820427</v>
      </c>
      <c r="G347" s="7">
        <v>2009.75</v>
      </c>
      <c r="H347">
        <v>1.0133879037848152</v>
      </c>
      <c r="I347" cm="1">
        <f t="array" ref="I347">TREND($H$2:$H$421, $A$2:$A$421, A347)</f>
        <v>0.9958045580019026</v>
      </c>
      <c r="J347">
        <f t="shared" si="22"/>
        <v>1.7583345782912652E-2</v>
      </c>
      <c r="K347">
        <f t="shared" si="23"/>
        <v>0.64298550305973723</v>
      </c>
    </row>
    <row r="348" spans="1:11" x14ac:dyDescent="0.35">
      <c r="A348" s="1">
        <v>2009.8333333336</v>
      </c>
      <c r="B348">
        <v>418.1</v>
      </c>
      <c r="C348" cm="1">
        <f t="array" ref="C348">TREND($B$2:$B$421, $A$2:$A$421, A348)</f>
        <v>412.55494343513965</v>
      </c>
      <c r="D348">
        <f t="shared" si="20"/>
        <v>5.5450565648603742</v>
      </c>
      <c r="E348">
        <f t="shared" si="21"/>
        <v>3.9144899318349018E-2</v>
      </c>
      <c r="G348" s="7">
        <v>2009.8333333333333</v>
      </c>
      <c r="H348">
        <v>1.01562492831507</v>
      </c>
      <c r="I348" cm="1">
        <f t="array" ref="I348">TREND($H$2:$H$421, $A$2:$A$421, A348)</f>
        <v>0.99569558329261643</v>
      </c>
      <c r="J348">
        <f t="shared" si="22"/>
        <v>1.9929345022453582E-2</v>
      </c>
      <c r="K348">
        <f t="shared" si="23"/>
        <v>0.72877369831208272</v>
      </c>
    </row>
    <row r="349" spans="1:11" x14ac:dyDescent="0.35">
      <c r="A349" s="1">
        <v>2009.91666666693</v>
      </c>
      <c r="B349">
        <v>335.2</v>
      </c>
      <c r="C349" cm="1">
        <f t="array" ref="C349">TREND($B$2:$B$421, $A$2:$A$421, A349)</f>
        <v>412.92477818557927</v>
      </c>
      <c r="D349">
        <f t="shared" si="20"/>
        <v>-77.724778185579282</v>
      </c>
      <c r="E349">
        <f t="shared" si="21"/>
        <v>-0.548692079337323</v>
      </c>
      <c r="G349" s="7">
        <v>2009.9166666666665</v>
      </c>
      <c r="H349">
        <v>1.017790315419431</v>
      </c>
      <c r="I349" cm="1">
        <f t="array" ref="I349">TREND($H$2:$H$421, $A$2:$A$421, A349)</f>
        <v>0.99558660858332981</v>
      </c>
      <c r="J349">
        <f t="shared" si="22"/>
        <v>2.2203706836101178E-2</v>
      </c>
      <c r="K349">
        <f t="shared" si="23"/>
        <v>0.81194226548598281</v>
      </c>
    </row>
    <row r="350" spans="1:11" x14ac:dyDescent="0.35">
      <c r="A350" s="1">
        <v>2010.0000000002599</v>
      </c>
      <c r="B350">
        <v>186.5</v>
      </c>
      <c r="C350" cm="1">
        <f t="array" ref="C350">TREND($B$2:$B$421, $A$2:$A$421, A350)</f>
        <v>413.29461293601889</v>
      </c>
      <c r="D350">
        <f t="shared" si="20"/>
        <v>-226.79461293601889</v>
      </c>
      <c r="E350">
        <f t="shared" si="21"/>
        <v>-1.6010390850810332</v>
      </c>
      <c r="G350" s="7">
        <v>2010</v>
      </c>
      <c r="H350">
        <v>1.0082869021587255</v>
      </c>
      <c r="I350" cm="1">
        <f t="array" ref="I350">TREND($H$2:$H$421, $A$2:$A$421, A350)</f>
        <v>0.99547763387404409</v>
      </c>
      <c r="J350">
        <f t="shared" si="22"/>
        <v>1.280926828468143E-2</v>
      </c>
      <c r="K350">
        <f t="shared" si="23"/>
        <v>0.46840765765164061</v>
      </c>
    </row>
    <row r="351" spans="1:11" x14ac:dyDescent="0.35">
      <c r="A351" s="1">
        <v>2010.08333333359</v>
      </c>
      <c r="B351">
        <v>144.69999999999999</v>
      </c>
      <c r="C351" cm="1">
        <f t="array" ref="C351">TREND($B$2:$B$421, $A$2:$A$421, A351)</f>
        <v>413.66444768646033</v>
      </c>
      <c r="D351">
        <f t="shared" si="20"/>
        <v>-268.96444768646035</v>
      </c>
      <c r="E351">
        <f t="shared" si="21"/>
        <v>-1.8987337823792956</v>
      </c>
      <c r="G351" s="7">
        <v>2010.0833333333333</v>
      </c>
      <c r="H351">
        <v>0.9801726610374194</v>
      </c>
      <c r="I351" cm="1">
        <f t="array" ref="I351">TREND($H$2:$H$421, $A$2:$A$421, A351)</f>
        <v>0.99536865916475792</v>
      </c>
      <c r="J351">
        <f t="shared" si="22"/>
        <v>-1.5195998127338517E-2</v>
      </c>
      <c r="K351">
        <f t="shared" si="23"/>
        <v>-0.55568528430449093</v>
      </c>
    </row>
    <row r="352" spans="1:11" x14ac:dyDescent="0.35">
      <c r="A352" s="1">
        <v>2010.16666666692</v>
      </c>
      <c r="B352">
        <v>163.9</v>
      </c>
      <c r="C352" cm="1">
        <f t="array" ref="C352">TREND($B$2:$B$421, $A$2:$A$421, A352)</f>
        <v>414.03428243689996</v>
      </c>
      <c r="D352">
        <f t="shared" si="20"/>
        <v>-250.13428243689995</v>
      </c>
      <c r="E352">
        <f t="shared" si="21"/>
        <v>-1.7658036825290595</v>
      </c>
      <c r="G352" s="7">
        <v>2010.1666666666665</v>
      </c>
      <c r="H352">
        <v>0.9608204431186298</v>
      </c>
      <c r="I352" cm="1">
        <f t="array" ref="I352">TREND($H$2:$H$421, $A$2:$A$421, A352)</f>
        <v>0.99525968445547131</v>
      </c>
      <c r="J352">
        <f t="shared" si="22"/>
        <v>-3.4439241336841508E-2</v>
      </c>
      <c r="K352">
        <f t="shared" si="23"/>
        <v>-1.2593697007019375</v>
      </c>
    </row>
    <row r="353" spans="1:11" x14ac:dyDescent="0.35">
      <c r="A353" s="1">
        <v>2010.2500000002501</v>
      </c>
      <c r="B353">
        <v>211.5</v>
      </c>
      <c r="C353" cm="1">
        <f t="array" ref="C353">TREND($B$2:$B$421, $A$2:$A$421, A353)</f>
        <v>414.4041171873414</v>
      </c>
      <c r="D353">
        <f t="shared" si="20"/>
        <v>-202.9041171873414</v>
      </c>
      <c r="E353">
        <f t="shared" si="21"/>
        <v>-1.432385972203148</v>
      </c>
      <c r="G353" s="7">
        <v>2010.25</v>
      </c>
      <c r="H353">
        <v>0.95821075340000506</v>
      </c>
      <c r="I353" cm="1">
        <f t="array" ref="I353">TREND($H$2:$H$421, $A$2:$A$421, A353)</f>
        <v>0.99515070974618514</v>
      </c>
      <c r="J353">
        <f t="shared" si="22"/>
        <v>-3.6939956346180081E-2</v>
      </c>
      <c r="K353">
        <f t="shared" si="23"/>
        <v>-1.3508155221138782</v>
      </c>
    </row>
    <row r="354" spans="1:11" x14ac:dyDescent="0.35">
      <c r="A354" s="1">
        <v>2010.33333333358</v>
      </c>
      <c r="B354">
        <v>341.9</v>
      </c>
      <c r="C354" cm="1">
        <f t="array" ref="C354">TREND($B$2:$B$421, $A$2:$A$421, A354)</f>
        <v>414.77395193778102</v>
      </c>
      <c r="D354">
        <f t="shared" si="20"/>
        <v>-72.873951937781044</v>
      </c>
      <c r="E354">
        <f t="shared" si="21"/>
        <v>-0.51444804541993505</v>
      </c>
      <c r="G354" s="7">
        <v>2010.3333333333333</v>
      </c>
      <c r="H354">
        <v>0.96396486931312175</v>
      </c>
      <c r="I354" cm="1">
        <f t="array" ref="I354">TREND($H$2:$H$421, $A$2:$A$421, A354)</f>
        <v>0.99504173503689897</v>
      </c>
      <c r="J354">
        <f t="shared" si="22"/>
        <v>-3.1076865723777214E-2</v>
      </c>
      <c r="K354">
        <f t="shared" si="23"/>
        <v>-1.1364147863338796</v>
      </c>
    </row>
    <row r="355" spans="1:11" x14ac:dyDescent="0.35">
      <c r="A355" s="1">
        <v>2010.41666666691</v>
      </c>
      <c r="B355">
        <v>470.4</v>
      </c>
      <c r="C355" cm="1">
        <f t="array" ref="C355">TREND($B$2:$B$421, $A$2:$A$421, A355)</f>
        <v>415.14378668822064</v>
      </c>
      <c r="D355">
        <f t="shared" si="20"/>
        <v>55.256213311779334</v>
      </c>
      <c r="E355">
        <f t="shared" si="21"/>
        <v>0.3900769778455383</v>
      </c>
      <c r="G355" s="7">
        <v>2010.4166666666665</v>
      </c>
      <c r="H355">
        <v>0.97050081412344902</v>
      </c>
      <c r="I355" cm="1">
        <f t="array" ref="I355">TREND($H$2:$H$421, $A$2:$A$421, A355)</f>
        <v>0.9949327603276128</v>
      </c>
      <c r="J355">
        <f t="shared" si="22"/>
        <v>-2.4431946204163779E-2</v>
      </c>
      <c r="K355">
        <f t="shared" si="23"/>
        <v>-0.89342423306487317</v>
      </c>
    </row>
    <row r="356" spans="1:11" x14ac:dyDescent="0.35">
      <c r="A356" s="1">
        <v>2010.5000000002401</v>
      </c>
      <c r="B356">
        <v>587.70000000000005</v>
      </c>
      <c r="C356" cm="1">
        <f t="array" ref="C356">TREND($B$2:$B$421, $A$2:$A$421, A356)</f>
        <v>415.51362143866208</v>
      </c>
      <c r="D356">
        <f t="shared" si="20"/>
        <v>172.18637856133796</v>
      </c>
      <c r="E356">
        <f t="shared" si="21"/>
        <v>1.2155364645853757</v>
      </c>
      <c r="G356" s="7">
        <v>2010.5</v>
      </c>
      <c r="H356">
        <v>0.98060067637723414</v>
      </c>
      <c r="I356" cm="1">
        <f t="array" ref="I356">TREND($H$2:$H$421, $A$2:$A$421, A356)</f>
        <v>0.99482378561832663</v>
      </c>
      <c r="J356">
        <f t="shared" si="22"/>
        <v>-1.4223109241092491E-2</v>
      </c>
      <c r="K356">
        <f t="shared" si="23"/>
        <v>-0.52010880997091746</v>
      </c>
    </row>
    <row r="357" spans="1:11" x14ac:dyDescent="0.35">
      <c r="A357" s="1">
        <v>2010.58333333357</v>
      </c>
      <c r="B357">
        <v>641.20000000000005</v>
      </c>
      <c r="C357" cm="1">
        <f t="array" ref="C357">TREND($B$2:$B$421, $A$2:$A$421, A357)</f>
        <v>415.88345618910171</v>
      </c>
      <c r="D357">
        <f t="shared" si="20"/>
        <v>225.31654381089834</v>
      </c>
      <c r="E357">
        <f t="shared" si="21"/>
        <v>1.5906047700453341</v>
      </c>
      <c r="G357" s="7">
        <v>2010.5833333333333</v>
      </c>
      <c r="H357">
        <v>0.99658655515488981</v>
      </c>
      <c r="I357" cm="1">
        <f t="array" ref="I357">TREND($H$2:$H$421, $A$2:$A$421, A357)</f>
        <v>0.99471481090904046</v>
      </c>
      <c r="J357">
        <f t="shared" si="22"/>
        <v>1.8717442458493494E-3</v>
      </c>
      <c r="K357">
        <f t="shared" si="23"/>
        <v>6.8445700287937949E-2</v>
      </c>
    </row>
    <row r="358" spans="1:11" x14ac:dyDescent="0.35">
      <c r="A358" s="1">
        <v>2010.6666666669</v>
      </c>
      <c r="B358">
        <v>633.5</v>
      </c>
      <c r="C358" cm="1">
        <f t="array" ref="C358">TREND($B$2:$B$421, $A$2:$A$421, A358)</f>
        <v>416.25329093954133</v>
      </c>
      <c r="D358">
        <f t="shared" si="20"/>
        <v>217.24670906045867</v>
      </c>
      <c r="E358">
        <f t="shared" si="21"/>
        <v>1.5336363937759916</v>
      </c>
      <c r="G358" s="7">
        <v>2010.6666666666665</v>
      </c>
      <c r="H358">
        <v>1.0188970991205044</v>
      </c>
      <c r="I358" cm="1">
        <f t="array" ref="I358">TREND($H$2:$H$421, $A$2:$A$421, A358)</f>
        <v>0.99460583619975429</v>
      </c>
      <c r="J358">
        <f t="shared" si="22"/>
        <v>2.4291262920750123E-2</v>
      </c>
      <c r="K358">
        <f t="shared" si="23"/>
        <v>0.88827974504336316</v>
      </c>
    </row>
    <row r="359" spans="1:11" x14ac:dyDescent="0.35">
      <c r="A359" s="1">
        <v>2010.7500000002301</v>
      </c>
      <c r="B359">
        <v>668.4</v>
      </c>
      <c r="C359" cm="1">
        <f t="array" ref="C359">TREND($B$2:$B$421, $A$2:$A$421, A359)</f>
        <v>416.62312568998277</v>
      </c>
      <c r="D359">
        <f t="shared" si="20"/>
        <v>251.77687431001721</v>
      </c>
      <c r="E359">
        <f t="shared" si="21"/>
        <v>1.7773994332201692</v>
      </c>
      <c r="G359" s="7">
        <v>2010.75</v>
      </c>
      <c r="H359">
        <v>1.042593231340976</v>
      </c>
      <c r="I359" cm="1">
        <f t="array" ref="I359">TREND($H$2:$H$421, $A$2:$A$421, A359)</f>
        <v>0.99449686149046812</v>
      </c>
      <c r="J359">
        <f t="shared" si="22"/>
        <v>4.8096369850507914E-2</v>
      </c>
      <c r="K359">
        <f t="shared" si="23"/>
        <v>1.7587818009999729</v>
      </c>
    </row>
    <row r="360" spans="1:11" x14ac:dyDescent="0.35">
      <c r="A360" s="1">
        <v>2010.8333333335599</v>
      </c>
      <c r="B360">
        <v>699.3</v>
      </c>
      <c r="C360" cm="1">
        <f t="array" ref="C360">TREND($B$2:$B$421, $A$2:$A$421, A360)</f>
        <v>416.99296044042239</v>
      </c>
      <c r="D360">
        <f t="shared" si="20"/>
        <v>282.30703955957756</v>
      </c>
      <c r="E360">
        <f t="shared" si="21"/>
        <v>1.9929247810480655</v>
      </c>
      <c r="G360" s="7">
        <v>2010.8333333333333</v>
      </c>
      <c r="H360">
        <v>1.0561447486386153</v>
      </c>
      <c r="I360" cm="1">
        <f t="array" ref="I360">TREND($H$2:$H$421, $A$2:$A$421, A360)</f>
        <v>0.99438788678118195</v>
      </c>
      <c r="J360">
        <f t="shared" si="22"/>
        <v>6.1756861857433343E-2</v>
      </c>
      <c r="K360">
        <f t="shared" si="23"/>
        <v>2.2583168970823331</v>
      </c>
    </row>
    <row r="361" spans="1:11" x14ac:dyDescent="0.35">
      <c r="A361" s="1">
        <v>2010.91666666689</v>
      </c>
      <c r="B361">
        <v>835.1</v>
      </c>
      <c r="C361" cm="1">
        <f t="array" ref="C361">TREND($B$2:$B$421, $A$2:$A$421, A361)</f>
        <v>417.36279519086202</v>
      </c>
      <c r="D361">
        <f t="shared" si="20"/>
        <v>417.73720480913801</v>
      </c>
      <c r="E361">
        <f t="shared" si="21"/>
        <v>2.9489835915132763</v>
      </c>
      <c r="G361" s="7">
        <v>2010.9166666666665</v>
      </c>
      <c r="H361">
        <v>1.0677040280296575</v>
      </c>
      <c r="I361" cm="1">
        <f t="array" ref="I361">TREND($H$2:$H$421, $A$2:$A$421, A361)</f>
        <v>0.99427891207189578</v>
      </c>
      <c r="J361">
        <f t="shared" si="22"/>
        <v>7.3425115957761689E-2</v>
      </c>
      <c r="K361">
        <f t="shared" si="23"/>
        <v>2.6850000963526046</v>
      </c>
    </row>
    <row r="362" spans="1:11" x14ac:dyDescent="0.35">
      <c r="A362" s="1">
        <v>2011.0000000002201</v>
      </c>
      <c r="B362">
        <v>720.9</v>
      </c>
      <c r="C362" cm="1">
        <f t="array" ref="C362">TREND($B$2:$B$421, $A$2:$A$421, A362)</f>
        <v>417.73262994130346</v>
      </c>
      <c r="D362">
        <f t="shared" si="20"/>
        <v>303.16737005869652</v>
      </c>
      <c r="E362">
        <f t="shared" si="21"/>
        <v>2.1401866759600896</v>
      </c>
      <c r="G362" s="7">
        <v>2011</v>
      </c>
      <c r="H362">
        <v>1.0519196433657427</v>
      </c>
      <c r="I362" cm="1">
        <f t="array" ref="I362">TREND($H$2:$H$421, $A$2:$A$421, A362)</f>
        <v>0.99416993736260961</v>
      </c>
      <c r="J362">
        <f t="shared" si="22"/>
        <v>5.7749706003133117E-2</v>
      </c>
      <c r="K362">
        <f t="shared" si="23"/>
        <v>2.1117837426630008</v>
      </c>
    </row>
    <row r="363" spans="1:11" x14ac:dyDescent="0.35">
      <c r="A363" s="1">
        <v>2011.0833333335499</v>
      </c>
      <c r="B363">
        <v>435.5</v>
      </c>
      <c r="C363" cm="1">
        <f t="array" ref="C363">TREND($B$2:$B$421, $A$2:$A$421, A363)</f>
        <v>418.10246469174308</v>
      </c>
      <c r="D363">
        <f t="shared" si="20"/>
        <v>17.39753530825692</v>
      </c>
      <c r="E363">
        <f t="shared" si="21"/>
        <v>0.12281655922952728</v>
      </c>
      <c r="G363" s="7">
        <v>2011.0833333333333</v>
      </c>
      <c r="H363">
        <v>1.0023081631066837</v>
      </c>
      <c r="I363" cm="1">
        <f t="array" ref="I363">TREND($H$2:$H$421, $A$2:$A$421, A363)</f>
        <v>0.99406096265332344</v>
      </c>
      <c r="J363">
        <f t="shared" si="22"/>
        <v>8.2472004533602483E-3</v>
      </c>
      <c r="K363">
        <f t="shared" si="23"/>
        <v>0.30158255418553293</v>
      </c>
    </row>
    <row r="364" spans="1:11" x14ac:dyDescent="0.35">
      <c r="A364" s="1">
        <v>2011.16666666689</v>
      </c>
      <c r="B364">
        <v>336.6</v>
      </c>
      <c r="C364" cm="1">
        <f t="array" ref="C364">TREND($B$2:$B$421, $A$2:$A$421, A364)</f>
        <v>418.47229944222818</v>
      </c>
      <c r="D364">
        <f t="shared" si="20"/>
        <v>-81.872299442228154</v>
      </c>
      <c r="E364">
        <f t="shared" si="21"/>
        <v>-0.57797118589164187</v>
      </c>
      <c r="G364" s="7">
        <v>2011.1666666666665</v>
      </c>
      <c r="H364">
        <v>0.97393117596399992</v>
      </c>
      <c r="I364" cm="1">
        <f t="array" ref="I364">TREND($H$2:$H$421, $A$2:$A$421, A364)</f>
        <v>0.99395198794402395</v>
      </c>
      <c r="J364">
        <f t="shared" si="22"/>
        <v>-2.0020811980024034E-2</v>
      </c>
      <c r="K364">
        <f t="shared" si="23"/>
        <v>-0.73211845012742671</v>
      </c>
    </row>
    <row r="365" spans="1:11" x14ac:dyDescent="0.35">
      <c r="A365" s="1">
        <v>2011.2500000002201</v>
      </c>
      <c r="B365">
        <v>395.5</v>
      </c>
      <c r="C365" cm="1">
        <f t="array" ref="C365">TREND($B$2:$B$421, $A$2:$A$421, A365)</f>
        <v>418.8421341926678</v>
      </c>
      <c r="D365">
        <f t="shared" si="20"/>
        <v>-23.3421341926678</v>
      </c>
      <c r="E365">
        <f t="shared" si="21"/>
        <v>-0.16478199674968669</v>
      </c>
      <c r="G365" s="7">
        <v>2011.25</v>
      </c>
      <c r="H365">
        <v>0.97016175937195881</v>
      </c>
      <c r="I365" cm="1">
        <f t="array" ref="I365">TREND($H$2:$H$421, $A$2:$A$421, A365)</f>
        <v>0.99384301323473778</v>
      </c>
      <c r="J365">
        <f t="shared" si="22"/>
        <v>-2.3681253862778973E-2</v>
      </c>
      <c r="K365">
        <f t="shared" si="23"/>
        <v>-0.86597301310209007</v>
      </c>
    </row>
    <row r="366" spans="1:11" x14ac:dyDescent="0.35">
      <c r="A366" s="1">
        <v>2011.3333333335499</v>
      </c>
      <c r="B366">
        <v>595</v>
      </c>
      <c r="C366" cm="1">
        <f t="array" ref="C366">TREND($B$2:$B$421, $A$2:$A$421, A366)</f>
        <v>419.21196894310742</v>
      </c>
      <c r="D366">
        <f t="shared" si="20"/>
        <v>175.78803105689258</v>
      </c>
      <c r="E366">
        <f t="shared" si="21"/>
        <v>1.2409620527050076</v>
      </c>
      <c r="G366" s="7">
        <v>2011.3333333333333</v>
      </c>
      <c r="H366">
        <v>0.97853634080237406</v>
      </c>
      <c r="I366" cm="1">
        <f t="array" ref="I366">TREND($H$2:$H$421, $A$2:$A$421, A366)</f>
        <v>0.99373403852545161</v>
      </c>
      <c r="J366">
        <f t="shared" si="22"/>
        <v>-1.5197697723077552E-2</v>
      </c>
      <c r="K366">
        <f t="shared" si="23"/>
        <v>-0.55574743490055811</v>
      </c>
    </row>
    <row r="367" spans="1:11" x14ac:dyDescent="0.35">
      <c r="A367" s="1">
        <v>2011.41666666688</v>
      </c>
      <c r="B367">
        <v>627.1</v>
      </c>
      <c r="C367" cm="1">
        <f t="array" ref="C367">TREND($B$2:$B$421, $A$2:$A$421, A367)</f>
        <v>419.58180369354886</v>
      </c>
      <c r="D367">
        <f t="shared" si="20"/>
        <v>207.51819630645116</v>
      </c>
      <c r="E367">
        <f t="shared" si="21"/>
        <v>1.4649587080177795</v>
      </c>
      <c r="G367" s="7">
        <v>2011.4166666666665</v>
      </c>
      <c r="H367">
        <v>0.98454711530084871</v>
      </c>
      <c r="I367" cm="1">
        <f t="array" ref="I367">TREND($H$2:$H$421, $A$2:$A$421, A367)</f>
        <v>0.99362506381616544</v>
      </c>
      <c r="J367">
        <f t="shared" si="22"/>
        <v>-9.0779485153167361E-3</v>
      </c>
      <c r="K367">
        <f t="shared" si="23"/>
        <v>-0.33196124133235189</v>
      </c>
    </row>
    <row r="368" spans="1:11" x14ac:dyDescent="0.35">
      <c r="A368" s="1">
        <v>2011.5000000002101</v>
      </c>
      <c r="B368">
        <v>547.29999999999995</v>
      </c>
      <c r="C368" cm="1">
        <f t="array" ref="C368">TREND($B$2:$B$421, $A$2:$A$421, A368)</f>
        <v>419.95163844398849</v>
      </c>
      <c r="D368">
        <f t="shared" si="20"/>
        <v>127.34836155601147</v>
      </c>
      <c r="E368">
        <f t="shared" si="21"/>
        <v>0.89900594036473525</v>
      </c>
      <c r="G368" s="7">
        <v>2011.5</v>
      </c>
      <c r="H368">
        <v>0.99471714725972904</v>
      </c>
      <c r="I368" cm="1">
        <f t="array" ref="I368">TREND($H$2:$H$421, $A$2:$A$421, A368)</f>
        <v>0.99351608910687927</v>
      </c>
      <c r="J368">
        <f t="shared" si="22"/>
        <v>1.2010581528497655E-3</v>
      </c>
      <c r="K368">
        <f t="shared" si="23"/>
        <v>4.3920138416681777E-2</v>
      </c>
    </row>
    <row r="369" spans="1:11" x14ac:dyDescent="0.35">
      <c r="A369" s="1">
        <v>2011.5833333335399</v>
      </c>
      <c r="B369">
        <v>488.5</v>
      </c>
      <c r="C369" cm="1">
        <f t="array" ref="C369">TREND($B$2:$B$421, $A$2:$A$421, A369)</f>
        <v>420.32147319442811</v>
      </c>
      <c r="D369">
        <f t="shared" si="20"/>
        <v>68.178526805571892</v>
      </c>
      <c r="E369">
        <f t="shared" si="21"/>
        <v>0.48130105369723597</v>
      </c>
      <c r="G369" s="7">
        <v>2011.5833333333333</v>
      </c>
      <c r="H369">
        <v>1.0058496035506037</v>
      </c>
      <c r="I369" cm="1">
        <f t="array" ref="I369">TREND($H$2:$H$421, $A$2:$A$421, A369)</f>
        <v>0.99340711439759311</v>
      </c>
      <c r="J369">
        <f t="shared" si="22"/>
        <v>1.2442489153010605E-2</v>
      </c>
      <c r="K369">
        <f t="shared" si="23"/>
        <v>0.45499532603962367</v>
      </c>
    </row>
    <row r="370" spans="1:11" x14ac:dyDescent="0.35">
      <c r="A370" s="1">
        <v>2011.66666666687</v>
      </c>
      <c r="B370">
        <v>435.2</v>
      </c>
      <c r="C370" cm="1">
        <f t="array" ref="C370">TREND($B$2:$B$421, $A$2:$A$421, A370)</f>
        <v>420.69130794486955</v>
      </c>
      <c r="D370">
        <f t="shared" si="20"/>
        <v>14.508692055130439</v>
      </c>
      <c r="E370">
        <f t="shared" si="21"/>
        <v>0.10242299300212791</v>
      </c>
      <c r="G370" s="7">
        <v>2011.6666666666665</v>
      </c>
      <c r="H370">
        <v>1.0121464325838834</v>
      </c>
      <c r="I370" cm="1">
        <f t="array" ref="I370">TREND($H$2:$H$421, $A$2:$A$421, A370)</f>
        <v>0.99329813968830694</v>
      </c>
      <c r="J370">
        <f t="shared" si="22"/>
        <v>1.8848292895576435E-2</v>
      </c>
      <c r="K370">
        <f t="shared" si="23"/>
        <v>0.68924192465445444</v>
      </c>
    </row>
    <row r="371" spans="1:11" x14ac:dyDescent="0.35">
      <c r="A371" s="1">
        <v>2011.7500000002001</v>
      </c>
      <c r="B371">
        <v>466.5</v>
      </c>
      <c r="C371" cm="1">
        <f t="array" ref="C371">TREND($B$2:$B$421, $A$2:$A$421, A371)</f>
        <v>421.06114269530917</v>
      </c>
      <c r="D371">
        <f t="shared" si="20"/>
        <v>45.438857304690828</v>
      </c>
      <c r="E371">
        <f t="shared" si="21"/>
        <v>0.32077210999165379</v>
      </c>
      <c r="G371" s="7">
        <v>2011.75</v>
      </c>
      <c r="H371">
        <v>1.0159729283425434</v>
      </c>
      <c r="I371" cm="1">
        <f t="array" ref="I371">TREND($H$2:$H$421, $A$2:$A$421, A371)</f>
        <v>0.99318916497902077</v>
      </c>
      <c r="J371">
        <f t="shared" si="22"/>
        <v>2.2783763363522613E-2</v>
      </c>
      <c r="K371">
        <f t="shared" si="23"/>
        <v>0.83315369718344789</v>
      </c>
    </row>
    <row r="372" spans="1:11" x14ac:dyDescent="0.35">
      <c r="A372" s="1">
        <v>2011.8333333335299</v>
      </c>
      <c r="B372">
        <v>531.79999999999995</v>
      </c>
      <c r="C372" cm="1">
        <f t="array" ref="C372">TREND($B$2:$B$421, $A$2:$A$421, A372)</f>
        <v>421.43097744574879</v>
      </c>
      <c r="D372">
        <f t="shared" si="20"/>
        <v>110.36902255425116</v>
      </c>
      <c r="E372">
        <f t="shared" si="21"/>
        <v>0.7791416057196795</v>
      </c>
      <c r="G372" s="7">
        <v>2011.8333333333333</v>
      </c>
      <c r="H372">
        <v>1.0158443139573385</v>
      </c>
      <c r="I372" cm="1">
        <f t="array" ref="I372">TREND($H$2:$H$421, $A$2:$A$421, A372)</f>
        <v>0.9930801902697346</v>
      </c>
      <c r="J372">
        <f t="shared" si="22"/>
        <v>2.2764123687603943E-2</v>
      </c>
      <c r="K372">
        <f t="shared" si="23"/>
        <v>0.83243551606727106</v>
      </c>
    </row>
    <row r="373" spans="1:11" x14ac:dyDescent="0.35">
      <c r="A373" s="1">
        <v>2011.91666666686</v>
      </c>
      <c r="B373">
        <v>610.79999999999995</v>
      </c>
      <c r="C373" cm="1">
        <f t="array" ref="C373">TREND($B$2:$B$421, $A$2:$A$421, A373)</f>
        <v>421.80081219619024</v>
      </c>
      <c r="D373">
        <f t="shared" si="20"/>
        <v>188.99918780380972</v>
      </c>
      <c r="E373">
        <f t="shared" si="21"/>
        <v>1.3342251952335</v>
      </c>
      <c r="G373" s="7">
        <v>2011.9166666666665</v>
      </c>
      <c r="H373">
        <v>1.015809306169257</v>
      </c>
      <c r="I373" cm="1">
        <f t="array" ref="I373">TREND($H$2:$H$421, $A$2:$A$421, A373)</f>
        <v>0.99297121556044843</v>
      </c>
      <c r="J373">
        <f t="shared" si="22"/>
        <v>2.2838090608808592E-2</v>
      </c>
      <c r="K373">
        <f t="shared" si="23"/>
        <v>0.83514032882746658</v>
      </c>
    </row>
    <row r="374" spans="1:11" x14ac:dyDescent="0.35">
      <c r="A374" s="1">
        <v>2012.0000000001901</v>
      </c>
      <c r="B374">
        <v>576.20000000000005</v>
      </c>
      <c r="C374" cm="1">
        <f t="array" ref="C374">TREND($B$2:$B$421, $A$2:$A$421, A374)</f>
        <v>422.17064694662986</v>
      </c>
      <c r="D374">
        <f t="shared" si="20"/>
        <v>154.02935305337019</v>
      </c>
      <c r="E374">
        <f t="shared" si="21"/>
        <v>1.0873583428445805</v>
      </c>
      <c r="G374" s="7">
        <v>2012</v>
      </c>
      <c r="H374">
        <v>1.010465243806453</v>
      </c>
      <c r="I374" cm="1">
        <f t="array" ref="I374">TREND($H$2:$H$421, $A$2:$A$421, A374)</f>
        <v>0.99286224085116226</v>
      </c>
      <c r="J374">
        <f t="shared" si="22"/>
        <v>1.7603002955290714E-2</v>
      </c>
      <c r="K374">
        <f t="shared" si="23"/>
        <v>0.64370432398416699</v>
      </c>
    </row>
    <row r="375" spans="1:11" x14ac:dyDescent="0.35">
      <c r="A375" s="1">
        <v>2012.0833333335199</v>
      </c>
      <c r="B375">
        <v>395.8</v>
      </c>
      <c r="C375" cm="1">
        <f t="array" ref="C375">TREND($B$2:$B$421, $A$2:$A$421, A375)</f>
        <v>422.54048169706948</v>
      </c>
      <c r="D375">
        <f t="shared" si="20"/>
        <v>-26.74048169706947</v>
      </c>
      <c r="E375">
        <f t="shared" si="21"/>
        <v>-0.18877236895826097</v>
      </c>
      <c r="G375" s="7">
        <v>2012.0833333333333</v>
      </c>
      <c r="H375">
        <v>0.99082117052313434</v>
      </c>
      <c r="I375" cm="1">
        <f t="array" ref="I375">TREND($H$2:$H$421, $A$2:$A$421, A375)</f>
        <v>0.99275326614187609</v>
      </c>
      <c r="J375">
        <f t="shared" si="22"/>
        <v>-1.9320956187417471E-3</v>
      </c>
      <c r="K375">
        <f t="shared" si="23"/>
        <v>-7.0652621447260922E-2</v>
      </c>
    </row>
    <row r="376" spans="1:11" x14ac:dyDescent="0.35">
      <c r="A376" s="1">
        <v>2012.16666666685</v>
      </c>
      <c r="B376">
        <v>216.9</v>
      </c>
      <c r="C376" cm="1">
        <f t="array" ref="C376">TREND($B$2:$B$421, $A$2:$A$421, A376)</f>
        <v>422.91031644751092</v>
      </c>
      <c r="D376">
        <f t="shared" si="20"/>
        <v>-206.01031644751092</v>
      </c>
      <c r="E376">
        <f t="shared" si="21"/>
        <v>-1.454313946405005</v>
      </c>
      <c r="G376" s="7">
        <v>2012.1666666666665</v>
      </c>
      <c r="H376">
        <v>0.97303140981785585</v>
      </c>
      <c r="I376" cm="1">
        <f t="array" ref="I376">TREND($H$2:$H$421, $A$2:$A$421, A376)</f>
        <v>0.99264429143258992</v>
      </c>
      <c r="J376">
        <f t="shared" si="22"/>
        <v>-1.9612881614734068E-2</v>
      </c>
      <c r="K376">
        <f t="shared" si="23"/>
        <v>-0.71720130555337125</v>
      </c>
    </row>
    <row r="377" spans="1:11" x14ac:dyDescent="0.35">
      <c r="A377" s="1">
        <v>2012.2500000001801</v>
      </c>
      <c r="B377">
        <v>275.10000000000002</v>
      </c>
      <c r="C377" cm="1">
        <f t="array" ref="C377">TREND($B$2:$B$421, $A$2:$A$421, A377)</f>
        <v>423.28015119795054</v>
      </c>
      <c r="D377">
        <f t="shared" si="20"/>
        <v>-148.18015119795052</v>
      </c>
      <c r="E377">
        <f t="shared" si="21"/>
        <v>-1.0460663532959009</v>
      </c>
      <c r="G377" s="7">
        <v>2012.25</v>
      </c>
      <c r="H377">
        <v>0.96976836291722179</v>
      </c>
      <c r="I377" cm="1">
        <f t="array" ref="I377">TREND($H$2:$H$421, $A$2:$A$421, A377)</f>
        <v>0.99253531672330331</v>
      </c>
      <c r="J377">
        <f t="shared" si="22"/>
        <v>-2.2766953806081514E-2</v>
      </c>
      <c r="K377">
        <f t="shared" si="23"/>
        <v>-0.83253900747191745</v>
      </c>
    </row>
    <row r="378" spans="1:11" x14ac:dyDescent="0.35">
      <c r="A378" s="1">
        <v>2012.3333333335099</v>
      </c>
      <c r="B378">
        <v>427.5</v>
      </c>
      <c r="C378" cm="1">
        <f t="array" ref="C378">TREND($B$2:$B$421, $A$2:$A$421, A378)</f>
        <v>423.64998594839017</v>
      </c>
      <c r="D378">
        <f t="shared" si="20"/>
        <v>3.8500140516098327</v>
      </c>
      <c r="E378">
        <f t="shared" si="21"/>
        <v>2.7178877376929776E-2</v>
      </c>
      <c r="G378" s="7">
        <v>2012.3333333333333</v>
      </c>
      <c r="H378">
        <v>0.9752755073175664</v>
      </c>
      <c r="I378" cm="1">
        <f t="array" ref="I378">TREND($H$2:$H$421, $A$2:$A$421, A378)</f>
        <v>0.99242634201401758</v>
      </c>
      <c r="J378">
        <f t="shared" si="22"/>
        <v>-1.7150834696451178E-2</v>
      </c>
      <c r="K378">
        <f t="shared" si="23"/>
        <v>-0.62716949386897414</v>
      </c>
    </row>
    <row r="379" spans="1:11" x14ac:dyDescent="0.35">
      <c r="A379" s="1">
        <v>2012.41666666684</v>
      </c>
      <c r="B379">
        <v>427.4</v>
      </c>
      <c r="C379" cm="1">
        <f t="array" ref="C379">TREND($B$2:$B$421, $A$2:$A$421, A379)</f>
        <v>424.01982069883161</v>
      </c>
      <c r="D379">
        <f t="shared" si="20"/>
        <v>3.3801793011683685</v>
      </c>
      <c r="E379">
        <f t="shared" si="21"/>
        <v>2.3862115178533632E-2</v>
      </c>
      <c r="G379" s="7">
        <v>2012.4166666666665</v>
      </c>
      <c r="H379">
        <v>0.98140716918004423</v>
      </c>
      <c r="I379" cm="1">
        <f t="array" ref="I379">TREND($H$2:$H$421, $A$2:$A$421, A379)</f>
        <v>0.99231736730473141</v>
      </c>
      <c r="J379">
        <f t="shared" si="22"/>
        <v>-1.0910198124687187E-2</v>
      </c>
      <c r="K379">
        <f t="shared" si="23"/>
        <v>-0.39896270688715924</v>
      </c>
    </row>
    <row r="380" spans="1:11" x14ac:dyDescent="0.35">
      <c r="A380" s="1">
        <v>2012.5000000001701</v>
      </c>
      <c r="B380">
        <v>313.60000000000002</v>
      </c>
      <c r="C380" cm="1">
        <f t="array" ref="C380">TREND($B$2:$B$421, $A$2:$A$421, A380)</f>
        <v>424.38965544927305</v>
      </c>
      <c r="D380">
        <f t="shared" si="20"/>
        <v>-110.78965544927303</v>
      </c>
      <c r="E380">
        <f t="shared" si="21"/>
        <v>-0.78211103121302283</v>
      </c>
      <c r="G380" s="7">
        <v>2012.5</v>
      </c>
      <c r="H380">
        <v>0.98473620221891034</v>
      </c>
      <c r="I380" cm="1">
        <f t="array" ref="I380">TREND($H$2:$H$421, $A$2:$A$421, A380)</f>
        <v>0.9922083925954448</v>
      </c>
      <c r="J380">
        <f t="shared" si="22"/>
        <v>-7.4721903765344599E-3</v>
      </c>
      <c r="K380">
        <f t="shared" si="23"/>
        <v>-0.27324208643405234</v>
      </c>
    </row>
    <row r="381" spans="1:11" x14ac:dyDescent="0.35">
      <c r="A381" s="1">
        <v>2012.5833333334999</v>
      </c>
      <c r="B381">
        <v>292.89999999999998</v>
      </c>
      <c r="C381" cm="1">
        <f t="array" ref="C381">TREND($B$2:$B$421, $A$2:$A$421, A381)</f>
        <v>424.75949019971085</v>
      </c>
      <c r="D381">
        <f t="shared" si="20"/>
        <v>-131.85949019971088</v>
      </c>
      <c r="E381">
        <f t="shared" si="21"/>
        <v>-0.93085190523530825</v>
      </c>
      <c r="G381" s="7">
        <v>2012.5833333333333</v>
      </c>
      <c r="H381">
        <v>0.99591062848271661</v>
      </c>
      <c r="I381" cm="1">
        <f t="array" ref="I381">TREND($H$2:$H$421, $A$2:$A$421, A381)</f>
        <v>0.99209941788615907</v>
      </c>
      <c r="J381">
        <f t="shared" si="22"/>
        <v>3.8112105965575349E-3</v>
      </c>
      <c r="K381">
        <f t="shared" si="23"/>
        <v>0.13936785370366792</v>
      </c>
    </row>
    <row r="382" spans="1:11" x14ac:dyDescent="0.35">
      <c r="A382" s="1">
        <v>2012.66666666683</v>
      </c>
      <c r="B382">
        <v>314.5</v>
      </c>
      <c r="C382" cm="1">
        <f t="array" ref="C382">TREND($B$2:$B$421, $A$2:$A$421, A382)</f>
        <v>425.1293249501523</v>
      </c>
      <c r="D382">
        <f t="shared" si="20"/>
        <v>-110.6293249501523</v>
      </c>
      <c r="E382">
        <f t="shared" si="21"/>
        <v>-0.78097919041530839</v>
      </c>
      <c r="G382" s="7">
        <v>2012.6666666666665</v>
      </c>
      <c r="H382">
        <v>1.0002440806669501</v>
      </c>
      <c r="I382" cm="1">
        <f t="array" ref="I382">TREND($H$2:$H$421, $A$2:$A$421, A382)</f>
        <v>0.99199044317687246</v>
      </c>
      <c r="J382">
        <f t="shared" si="22"/>
        <v>8.253637490077681E-3</v>
      </c>
      <c r="K382">
        <f t="shared" si="23"/>
        <v>0.30181794290751296</v>
      </c>
    </row>
    <row r="383" spans="1:11" x14ac:dyDescent="0.35">
      <c r="A383" s="1">
        <v>2012.7500000001601</v>
      </c>
      <c r="B383">
        <v>318.2</v>
      </c>
      <c r="C383" cm="1">
        <f t="array" ref="C383">TREND($B$2:$B$421, $A$2:$A$421, A383)</f>
        <v>425.49915970059374</v>
      </c>
      <c r="D383">
        <f t="shared" si="20"/>
        <v>-107.29915970059375</v>
      </c>
      <c r="E383">
        <f t="shared" si="21"/>
        <v>-0.75747014557822512</v>
      </c>
      <c r="G383" s="7">
        <v>2012.75</v>
      </c>
      <c r="H383">
        <v>0.99795317942665629</v>
      </c>
      <c r="I383" cm="1">
        <f t="array" ref="I383">TREND($H$2:$H$421, $A$2:$A$421, A383)</f>
        <v>0.99188146846758629</v>
      </c>
      <c r="J383">
        <f t="shared" si="22"/>
        <v>6.071710959069998E-3</v>
      </c>
      <c r="K383">
        <f t="shared" si="23"/>
        <v>0.22202953713420659</v>
      </c>
    </row>
    <row r="384" spans="1:11" x14ac:dyDescent="0.35">
      <c r="A384" s="1">
        <v>2012.8333333334899</v>
      </c>
      <c r="B384">
        <v>377.8</v>
      </c>
      <c r="C384" cm="1">
        <f t="array" ref="C384">TREND($B$2:$B$421, $A$2:$A$421, A384)</f>
        <v>425.86899445103336</v>
      </c>
      <c r="D384">
        <f t="shared" si="20"/>
        <v>-48.068994451033348</v>
      </c>
      <c r="E384">
        <f t="shared" si="21"/>
        <v>-0.33933936040341806</v>
      </c>
      <c r="G384" s="7">
        <v>2012.8333333333333</v>
      </c>
      <c r="H384">
        <v>0.99489317545153311</v>
      </c>
      <c r="I384" cm="1">
        <f t="array" ref="I384">TREND($H$2:$H$421, $A$2:$A$421, A384)</f>
        <v>0.99177249375830057</v>
      </c>
      <c r="J384">
        <f t="shared" si="22"/>
        <v>3.120681693232541E-3</v>
      </c>
      <c r="K384">
        <f t="shared" si="23"/>
        <v>0.11411668252365313</v>
      </c>
    </row>
    <row r="385" spans="1:11" x14ac:dyDescent="0.35">
      <c r="A385" s="1">
        <v>2012.91666666682</v>
      </c>
      <c r="B385">
        <v>341.8</v>
      </c>
      <c r="C385" cm="1">
        <f t="array" ref="C385">TREND($B$2:$B$421, $A$2:$A$421, A385)</f>
        <v>426.23882920147298</v>
      </c>
      <c r="D385">
        <f t="shared" si="20"/>
        <v>-84.43882920147297</v>
      </c>
      <c r="E385">
        <f t="shared" si="21"/>
        <v>-0.59608940485804107</v>
      </c>
      <c r="G385" s="7">
        <v>2012.9166666666665</v>
      </c>
      <c r="H385">
        <v>0.99793795476014424</v>
      </c>
      <c r="I385" cm="1">
        <f t="array" ref="I385">TREND($H$2:$H$421, $A$2:$A$421, A385)</f>
        <v>0.99166351904901395</v>
      </c>
      <c r="J385">
        <f t="shared" si="22"/>
        <v>6.2744357111302884E-3</v>
      </c>
      <c r="K385">
        <f t="shared" si="23"/>
        <v>0.22944274951684773</v>
      </c>
    </row>
    <row r="386" spans="1:11" x14ac:dyDescent="0.35">
      <c r="A386" s="1">
        <v>2013.0000000001501</v>
      </c>
      <c r="B386">
        <v>188.9</v>
      </c>
      <c r="C386" cm="1">
        <f t="array" ref="C386">TREND($B$2:$B$421, $A$2:$A$421, A386)</f>
        <v>426.60866395191442</v>
      </c>
      <c r="D386">
        <f t="shared" si="20"/>
        <v>-237.70866395191442</v>
      </c>
      <c r="E386">
        <f t="shared" si="21"/>
        <v>-1.6780859867988731</v>
      </c>
      <c r="G386" s="7">
        <v>2013</v>
      </c>
      <c r="H386">
        <v>0.98930518051490213</v>
      </c>
      <c r="I386" cm="1">
        <f t="array" ref="I386">TREND($H$2:$H$421, $A$2:$A$421, A386)</f>
        <v>0.99155454433972778</v>
      </c>
      <c r="J386">
        <f t="shared" si="22"/>
        <v>-2.2493638248256564E-3</v>
      </c>
      <c r="K386">
        <f t="shared" si="23"/>
        <v>-8.2254443967976584E-2</v>
      </c>
    </row>
    <row r="387" spans="1:11" x14ac:dyDescent="0.35">
      <c r="A387" s="1">
        <v>2013.0833333334799</v>
      </c>
      <c r="B387">
        <v>163.4</v>
      </c>
      <c r="C387" cm="1">
        <f t="array" ref="C387">TREND($B$2:$B$421, $A$2:$A$421, A387)</f>
        <v>426.97849870235405</v>
      </c>
      <c r="D387">
        <f t="shared" ref="D387:D421" si="24">B387 - C387</f>
        <v>-263.57849870235407</v>
      </c>
      <c r="E387">
        <f t="shared" ref="E387:E421" si="25">(D387 - AVERAGE($D$2:$D$421)) / _xlfn.STDEV.S($D$2:$D$421)</f>
        <v>-1.8607120907607242</v>
      </c>
      <c r="G387" s="7">
        <v>2013.0833333333333</v>
      </c>
      <c r="H387">
        <v>0.96174337357487238</v>
      </c>
      <c r="I387" cm="1">
        <f t="array" ref="I387">TREND($H$2:$H$421, $A$2:$A$421, A387)</f>
        <v>0.99144556963044161</v>
      </c>
      <c r="J387">
        <f t="shared" ref="J387:J421" si="26">H387 - I387</f>
        <v>-2.970219605556923E-2</v>
      </c>
      <c r="K387">
        <f t="shared" ref="K387:K421" si="27">(J387 - AVERAGE($J$2:$J$421)) / _xlfn.STDEV.S($J$2:$J$421)</f>
        <v>-1.0861460445900499</v>
      </c>
    </row>
    <row r="388" spans="1:11" x14ac:dyDescent="0.35">
      <c r="A388" s="1">
        <v>2013.16666666681</v>
      </c>
      <c r="B388">
        <v>178</v>
      </c>
      <c r="C388" cm="1">
        <f t="array" ref="C388">TREND($B$2:$B$421, $A$2:$A$421, A388)</f>
        <v>427.34833345279367</v>
      </c>
      <c r="D388">
        <f t="shared" si="24"/>
        <v>-249.34833345279367</v>
      </c>
      <c r="E388">
        <f t="shared" si="25"/>
        <v>-1.7602553362692264</v>
      </c>
      <c r="G388" s="7">
        <v>2013.1666666666665</v>
      </c>
      <c r="H388">
        <v>0.94719176378154923</v>
      </c>
      <c r="I388" cm="1">
        <f t="array" ref="I388">TREND($H$2:$H$421, $A$2:$A$421, A388)</f>
        <v>0.99133659492115545</v>
      </c>
      <c r="J388">
        <f t="shared" si="26"/>
        <v>-4.4144831139606211E-2</v>
      </c>
      <c r="K388">
        <f t="shared" si="27"/>
        <v>-1.6142824470511994</v>
      </c>
    </row>
    <row r="389" spans="1:11" x14ac:dyDescent="0.35">
      <c r="A389" s="1">
        <v>2013.2500000001401</v>
      </c>
      <c r="B389">
        <v>182</v>
      </c>
      <c r="C389" cm="1">
        <f t="array" ref="C389">TREND($B$2:$B$421, $A$2:$A$421, A389)</f>
        <v>427.71816820323511</v>
      </c>
      <c r="D389">
        <f t="shared" si="24"/>
        <v>-245.71816820323511</v>
      </c>
      <c r="E389">
        <f t="shared" si="25"/>
        <v>-1.7346284645609207</v>
      </c>
      <c r="G389" s="7">
        <v>2013.25</v>
      </c>
      <c r="H389">
        <v>0.94519130980139165</v>
      </c>
      <c r="I389" cm="1">
        <f t="array" ref="I389">TREND($H$2:$H$421, $A$2:$A$421, A389)</f>
        <v>0.99122762021186928</v>
      </c>
      <c r="J389">
        <f t="shared" si="26"/>
        <v>-4.6036310410477621E-2</v>
      </c>
      <c r="K389">
        <f t="shared" si="27"/>
        <v>-1.6834498151689457</v>
      </c>
    </row>
    <row r="390" spans="1:11" x14ac:dyDescent="0.35">
      <c r="A390" s="1">
        <v>2013.3333333334699</v>
      </c>
      <c r="B390">
        <v>274</v>
      </c>
      <c r="C390" cm="1">
        <f t="array" ref="C390">TREND($B$2:$B$421, $A$2:$A$421, A390)</f>
        <v>428.08800295367473</v>
      </c>
      <c r="D390">
        <f t="shared" si="24"/>
        <v>-154.08800295367473</v>
      </c>
      <c r="E390">
        <f t="shared" si="25"/>
        <v>-1.0877723772941315</v>
      </c>
      <c r="G390" s="7">
        <v>2013.3333333333333</v>
      </c>
      <c r="H390">
        <v>0.95216811288101599</v>
      </c>
      <c r="I390" cm="1">
        <f t="array" ref="I390">TREND($H$2:$H$421, $A$2:$A$421, A390)</f>
        <v>0.99111864550258311</v>
      </c>
      <c r="J390">
        <f t="shared" si="26"/>
        <v>-3.8950532621567113E-2</v>
      </c>
      <c r="K390">
        <f t="shared" si="27"/>
        <v>-1.4243380140122082</v>
      </c>
    </row>
    <row r="391" spans="1:11" x14ac:dyDescent="0.35">
      <c r="A391" s="1">
        <v>2013.4166666668</v>
      </c>
      <c r="B391">
        <v>351.5</v>
      </c>
      <c r="C391" cm="1">
        <f t="array" ref="C391">TREND($B$2:$B$421, $A$2:$A$421, A391)</f>
        <v>428.45783770411435</v>
      </c>
      <c r="D391">
        <f t="shared" si="24"/>
        <v>-76.957837704114354</v>
      </c>
      <c r="E391">
        <f t="shared" si="25"/>
        <v>-0.54327792213640835</v>
      </c>
      <c r="G391" s="7">
        <v>2013.4166666666665</v>
      </c>
      <c r="H391">
        <v>0.95936070713227761</v>
      </c>
      <c r="I391" cm="1">
        <f t="array" ref="I391">TREND($H$2:$H$421, $A$2:$A$421, A391)</f>
        <v>0.99100967079329694</v>
      </c>
      <c r="J391">
        <f t="shared" si="26"/>
        <v>-3.1648963661019325E-2</v>
      </c>
      <c r="K391">
        <f t="shared" si="27"/>
        <v>-1.1573351893401458</v>
      </c>
    </row>
    <row r="392" spans="1:11" x14ac:dyDescent="0.35">
      <c r="A392" s="1">
        <v>2013.5000000001301</v>
      </c>
      <c r="B392">
        <v>317.39999999999998</v>
      </c>
      <c r="C392" cm="1">
        <f t="array" ref="C392">TREND($B$2:$B$421, $A$2:$A$421, A392)</f>
        <v>428.8276724545558</v>
      </c>
      <c r="D392">
        <f t="shared" si="24"/>
        <v>-111.42767245455582</v>
      </c>
      <c r="E392">
        <f t="shared" si="25"/>
        <v>-0.78661506307330464</v>
      </c>
      <c r="G392" s="7">
        <v>2013.5</v>
      </c>
      <c r="H392">
        <v>0.97188472748302812</v>
      </c>
      <c r="I392" cm="1">
        <f t="array" ref="I392">TREND($H$2:$H$421, $A$2:$A$421, A392)</f>
        <v>0.99090069608401077</v>
      </c>
      <c r="J392">
        <f t="shared" si="26"/>
        <v>-1.9015968600982647E-2</v>
      </c>
      <c r="K392">
        <f t="shared" si="27"/>
        <v>-0.6953734680548419</v>
      </c>
    </row>
    <row r="393" spans="1:11" x14ac:dyDescent="0.35">
      <c r="A393" s="1">
        <v>2013.5833333334599</v>
      </c>
      <c r="B393">
        <v>272.5</v>
      </c>
      <c r="C393" cm="1">
        <f t="array" ref="C393">TREND($B$2:$B$421, $A$2:$A$421, A393)</f>
        <v>429.19750720499542</v>
      </c>
      <c r="D393">
        <f t="shared" si="24"/>
        <v>-156.69750720499542</v>
      </c>
      <c r="E393">
        <f t="shared" si="25"/>
        <v>-1.106193971374182</v>
      </c>
      <c r="G393" s="7">
        <v>2013.5833333333333</v>
      </c>
      <c r="H393">
        <v>0.98145148288370232</v>
      </c>
      <c r="I393" cm="1">
        <f t="array" ref="I393">TREND($H$2:$H$421, $A$2:$A$421, A393)</f>
        <v>0.9907917213747246</v>
      </c>
      <c r="J393">
        <f t="shared" si="26"/>
        <v>-9.3402384910222791E-3</v>
      </c>
      <c r="K393">
        <f t="shared" si="27"/>
        <v>-0.34155262707080725</v>
      </c>
    </row>
    <row r="394" spans="1:11" x14ac:dyDescent="0.35">
      <c r="A394" s="1">
        <v>2013.66666666679</v>
      </c>
      <c r="B394">
        <v>358</v>
      </c>
      <c r="C394" cm="1">
        <f t="array" ref="C394">TREND($B$2:$B$421, $A$2:$A$421, A394)</f>
        <v>429.56734195543504</v>
      </c>
      <c r="D394">
        <f t="shared" si="24"/>
        <v>-71.56734195543504</v>
      </c>
      <c r="E394">
        <f t="shared" si="25"/>
        <v>-0.50522413298387059</v>
      </c>
      <c r="G394" s="7">
        <v>2013.6666666666665</v>
      </c>
      <c r="H394">
        <v>0.98975978287343036</v>
      </c>
      <c r="I394" cm="1">
        <f t="array" ref="I394">TREND($H$2:$H$421, $A$2:$A$421, A394)</f>
        <v>0.99068274666543843</v>
      </c>
      <c r="J394">
        <f t="shared" si="26"/>
        <v>-9.2296379200806911E-4</v>
      </c>
      <c r="K394">
        <f t="shared" si="27"/>
        <v>-3.3750819976888204E-2</v>
      </c>
    </row>
    <row r="395" spans="1:11" x14ac:dyDescent="0.35">
      <c r="A395" s="1">
        <v>2013.7500000001201</v>
      </c>
      <c r="B395">
        <v>404.5</v>
      </c>
      <c r="C395" cm="1">
        <f t="array" ref="C395">TREND($B$2:$B$421, $A$2:$A$421, A395)</f>
        <v>429.93717670587648</v>
      </c>
      <c r="D395">
        <f t="shared" si="24"/>
        <v>-25.437176705876482</v>
      </c>
      <c r="E395">
        <f t="shared" si="25"/>
        <v>-0.17957178785243982</v>
      </c>
      <c r="G395" s="7">
        <v>2013.75</v>
      </c>
      <c r="H395">
        <v>0.99290316187624006</v>
      </c>
      <c r="I395" cm="1">
        <f t="array" ref="I395">TREND($H$2:$H$421, $A$2:$A$421, A395)</f>
        <v>0.99057377195615226</v>
      </c>
      <c r="J395">
        <f t="shared" si="26"/>
        <v>2.3293899200877988E-3</v>
      </c>
      <c r="K395">
        <f t="shared" si="27"/>
        <v>8.518082781749417E-2</v>
      </c>
    </row>
    <row r="396" spans="1:11" x14ac:dyDescent="0.35">
      <c r="A396" s="1">
        <v>2013.8333333334499</v>
      </c>
      <c r="B396">
        <v>427.3</v>
      </c>
      <c r="C396" cm="1">
        <f t="array" ref="C396">TREND($B$2:$B$421, $A$2:$A$421, A396)</f>
        <v>430.3070114563161</v>
      </c>
      <c r="D396">
        <f t="shared" si="24"/>
        <v>-3.0070114563160928</v>
      </c>
      <c r="E396">
        <f t="shared" si="25"/>
        <v>-2.1227765547538961E-2</v>
      </c>
      <c r="G396" s="7">
        <v>2013.8333333333333</v>
      </c>
      <c r="H396">
        <v>0.99528542139293819</v>
      </c>
      <c r="I396" cm="1">
        <f t="array" ref="I396">TREND($H$2:$H$421, $A$2:$A$421, A396)</f>
        <v>0.99046479724686609</v>
      </c>
      <c r="J396">
        <f t="shared" si="26"/>
        <v>4.8206241460720944E-3</v>
      </c>
      <c r="K396">
        <f t="shared" si="27"/>
        <v>0.17627995717607284</v>
      </c>
    </row>
    <row r="397" spans="1:11" x14ac:dyDescent="0.35">
      <c r="A397" s="1">
        <v>2013.91666666678</v>
      </c>
      <c r="B397">
        <v>411.1</v>
      </c>
      <c r="C397" cm="1">
        <f t="array" ref="C397">TREND($B$2:$B$421, $A$2:$A$421, A397)</f>
        <v>430.67684620675573</v>
      </c>
      <c r="D397">
        <f t="shared" si="24"/>
        <v>-19.576846206755704</v>
      </c>
      <c r="E397">
        <f t="shared" si="25"/>
        <v>-0.13820123650150593</v>
      </c>
      <c r="G397" s="7">
        <v>2013.9166666666665</v>
      </c>
      <c r="H397">
        <v>1.0005809022742254</v>
      </c>
      <c r="I397" cm="1">
        <f t="array" ref="I397">TREND($H$2:$H$421, $A$2:$A$421, A397)</f>
        <v>0.99035582253757992</v>
      </c>
      <c r="J397">
        <f t="shared" si="26"/>
        <v>1.0225079736645437E-2</v>
      </c>
      <c r="K397">
        <f t="shared" si="27"/>
        <v>0.37390938672672414</v>
      </c>
    </row>
    <row r="398" spans="1:11" x14ac:dyDescent="0.35">
      <c r="A398" s="1">
        <v>2014</v>
      </c>
      <c r="B398">
        <v>338.7</v>
      </c>
      <c r="C398" cm="1">
        <f t="array" ref="C398">TREND($B$2:$B$421, $A$2:$A$421, A398)</f>
        <v>431.04668095670786</v>
      </c>
      <c r="D398">
        <f t="shared" si="24"/>
        <v>-92.346680956707871</v>
      </c>
      <c r="E398">
        <f t="shared" si="25"/>
        <v>-0.65191427466096441</v>
      </c>
      <c r="G398" s="7">
        <v>2014</v>
      </c>
      <c r="H398">
        <v>0.99596239311064494</v>
      </c>
      <c r="I398" cm="1">
        <f t="array" ref="I398">TREND($H$2:$H$421, $A$2:$A$421, A398)</f>
        <v>0.99024684782843719</v>
      </c>
      <c r="J398">
        <f t="shared" si="26"/>
        <v>5.7155452822077457E-3</v>
      </c>
      <c r="K398">
        <f t="shared" si="27"/>
        <v>0.20900531695806462</v>
      </c>
    </row>
    <row r="399" spans="1:11" x14ac:dyDescent="0.35">
      <c r="A399" s="1">
        <v>2014.0833333333333</v>
      </c>
      <c r="B399">
        <v>198.5</v>
      </c>
      <c r="C399" cm="1">
        <f t="array" ref="C399">TREND($B$2:$B$421, $A$2:$A$421, A399)</f>
        <v>431.41651570716203</v>
      </c>
      <c r="D399">
        <f t="shared" si="24"/>
        <v>-232.91651570716203</v>
      </c>
      <c r="E399">
        <f t="shared" si="25"/>
        <v>-1.6442561857201523</v>
      </c>
      <c r="G399" s="7">
        <v>2014.0833333333333</v>
      </c>
      <c r="H399">
        <v>0.97489159281528748</v>
      </c>
      <c r="I399" cm="1">
        <f t="array" ref="I399">TREND($H$2:$H$421, $A$2:$A$421, A399)</f>
        <v>0.99013787311914703</v>
      </c>
      <c r="J399">
        <f t="shared" si="26"/>
        <v>-1.524628030385955E-2</v>
      </c>
      <c r="K399">
        <f t="shared" si="27"/>
        <v>-0.55752399639970174</v>
      </c>
    </row>
    <row r="400" spans="1:11" x14ac:dyDescent="0.35">
      <c r="A400" s="1">
        <v>2014.1666666666665</v>
      </c>
      <c r="B400">
        <v>216.6</v>
      </c>
      <c r="C400" cm="1">
        <f t="array" ref="C400">TREND($B$2:$B$421, $A$2:$A$421, A400)</f>
        <v>431.78635045761803</v>
      </c>
      <c r="D400">
        <f t="shared" si="24"/>
        <v>-215.18635045761803</v>
      </c>
      <c r="E400">
        <f t="shared" si="25"/>
        <v>-1.5190914510645128</v>
      </c>
      <c r="G400" s="7">
        <v>2014.1666666666665</v>
      </c>
      <c r="H400">
        <v>0.95808436885137249</v>
      </c>
      <c r="I400" cm="1">
        <f t="array" ref="I400">TREND($H$2:$H$421, $A$2:$A$421, A400)</f>
        <v>0.99002889840985642</v>
      </c>
      <c r="J400">
        <f t="shared" si="26"/>
        <v>-3.1944529558483925E-2</v>
      </c>
      <c r="K400">
        <f t="shared" si="27"/>
        <v>-1.168143404660194</v>
      </c>
    </row>
    <row r="401" spans="1:11" x14ac:dyDescent="0.35">
      <c r="A401" s="1">
        <v>2014.25</v>
      </c>
      <c r="B401">
        <v>197.2</v>
      </c>
      <c r="C401" cm="1">
        <f t="array" ref="C401">TREND($B$2:$B$421, $A$2:$A$421, A401)</f>
        <v>432.15618520807402</v>
      </c>
      <c r="D401">
        <f t="shared" si="24"/>
        <v>-234.95618520807403</v>
      </c>
      <c r="E401">
        <f t="shared" si="25"/>
        <v>-1.6586550753116307</v>
      </c>
      <c r="G401" s="7">
        <v>2014.25</v>
      </c>
      <c r="H401">
        <v>0.95710504272971086</v>
      </c>
      <c r="I401" cm="1">
        <f t="array" ref="I401">TREND($H$2:$H$421, $A$2:$A$421, A401)</f>
        <v>0.98991992370056581</v>
      </c>
      <c r="J401">
        <f t="shared" si="26"/>
        <v>-3.2814880970854943E-2</v>
      </c>
      <c r="K401">
        <f t="shared" si="27"/>
        <v>-1.1999703019771983</v>
      </c>
    </row>
    <row r="402" spans="1:11" x14ac:dyDescent="0.35">
      <c r="A402" s="1">
        <v>2014.3333333333333</v>
      </c>
      <c r="B402">
        <v>339.4</v>
      </c>
      <c r="C402" cm="1">
        <f t="array" ref="C402">TREND($B$2:$B$421, $A$2:$A$421, A402)</f>
        <v>432.5260199585282</v>
      </c>
      <c r="D402">
        <f t="shared" si="24"/>
        <v>-93.126019958528218</v>
      </c>
      <c r="E402">
        <f t="shared" si="25"/>
        <v>-0.65741595826045285</v>
      </c>
      <c r="G402" s="7">
        <v>2014.3333333333333</v>
      </c>
      <c r="H402">
        <v>0.97037881482342581</v>
      </c>
      <c r="I402" cm="1">
        <f t="array" ref="I402">TREND($H$2:$H$421, $A$2:$A$421, A402)</f>
        <v>0.9898109489912752</v>
      </c>
      <c r="J402">
        <f t="shared" si="26"/>
        <v>-1.9432134167849391E-2</v>
      </c>
      <c r="K402">
        <f t="shared" si="27"/>
        <v>-0.71059175640972372</v>
      </c>
    </row>
    <row r="403" spans="1:11" x14ac:dyDescent="0.35">
      <c r="A403" s="1">
        <v>2014.4166666666665</v>
      </c>
      <c r="B403">
        <v>369.3</v>
      </c>
      <c r="C403" cm="1">
        <f t="array" ref="C403">TREND($B$2:$B$421, $A$2:$A$421, A403)</f>
        <v>432.89585470898237</v>
      </c>
      <c r="D403">
        <f t="shared" si="24"/>
        <v>-63.595854708982358</v>
      </c>
      <c r="E403">
        <f t="shared" si="25"/>
        <v>-0.44895003333673239</v>
      </c>
      <c r="G403" s="7">
        <v>2014.4166666666665</v>
      </c>
      <c r="H403">
        <v>0.97390386462672107</v>
      </c>
      <c r="I403" cm="1">
        <f t="array" ref="I403">TREND($H$2:$H$421, $A$2:$A$421, A403)</f>
        <v>0.98970197428198503</v>
      </c>
      <c r="J403">
        <f t="shared" si="26"/>
        <v>-1.5798109655263959E-2</v>
      </c>
      <c r="K403">
        <f t="shared" si="27"/>
        <v>-0.57770322039361932</v>
      </c>
    </row>
    <row r="404" spans="1:11" x14ac:dyDescent="0.35">
      <c r="A404" s="1">
        <v>2014.5</v>
      </c>
      <c r="B404">
        <v>280.5</v>
      </c>
      <c r="C404" cm="1">
        <f t="array" ref="C404">TREND($B$2:$B$421, $A$2:$A$421, A404)</f>
        <v>433.26568945943836</v>
      </c>
      <c r="D404">
        <f t="shared" si="24"/>
        <v>-152.76568945943836</v>
      </c>
      <c r="E404">
        <f t="shared" si="25"/>
        <v>-1.0784376071265538</v>
      </c>
      <c r="G404" s="7">
        <v>2014.5</v>
      </c>
      <c r="H404">
        <v>0.97401818998549217</v>
      </c>
      <c r="I404" cm="1">
        <f t="array" ref="I404">TREND($H$2:$H$421, $A$2:$A$421, A404)</f>
        <v>0.98959299957269398</v>
      </c>
      <c r="J404">
        <f t="shared" si="26"/>
        <v>-1.557480958720181E-2</v>
      </c>
      <c r="K404">
        <f t="shared" si="27"/>
        <v>-0.56953761252985624</v>
      </c>
    </row>
    <row r="405" spans="1:11" x14ac:dyDescent="0.35">
      <c r="A405" s="1">
        <v>2014.5833333333333</v>
      </c>
      <c r="B405">
        <v>230.4</v>
      </c>
      <c r="C405" cm="1">
        <f t="array" ref="C405">TREND($B$2:$B$421, $A$2:$A$421, A405)</f>
        <v>433.63552420989254</v>
      </c>
      <c r="D405">
        <f t="shared" si="24"/>
        <v>-203.23552420989253</v>
      </c>
      <c r="E405">
        <f t="shared" si="25"/>
        <v>-1.4347255145287161</v>
      </c>
      <c r="G405" s="7">
        <v>2014.5833333333333</v>
      </c>
      <c r="H405">
        <v>0.97341753273924647</v>
      </c>
      <c r="I405" cm="1">
        <f t="array" ref="I405">TREND($H$2:$H$421, $A$2:$A$421, A405)</f>
        <v>0.98948402486340381</v>
      </c>
      <c r="J405">
        <f t="shared" si="26"/>
        <v>-1.6066492124157339E-2</v>
      </c>
      <c r="K405">
        <f t="shared" si="27"/>
        <v>-0.5875173956310491</v>
      </c>
    </row>
    <row r="406" spans="1:11" x14ac:dyDescent="0.35">
      <c r="A406" s="1">
        <v>2014.6666666666665</v>
      </c>
      <c r="B406">
        <v>313.2</v>
      </c>
      <c r="C406" cm="1">
        <f t="array" ref="C406">TREND($B$2:$B$421, $A$2:$A$421, A406)</f>
        <v>434.00535896034853</v>
      </c>
      <c r="D406">
        <f t="shared" si="24"/>
        <v>-120.80535896034854</v>
      </c>
      <c r="E406">
        <f t="shared" si="25"/>
        <v>-0.85281611797951906</v>
      </c>
      <c r="G406" s="7">
        <v>2014.6666666666665</v>
      </c>
      <c r="H406">
        <v>0.96999887742047952</v>
      </c>
      <c r="I406" cm="1">
        <f t="array" ref="I406">TREND($H$2:$H$421, $A$2:$A$421, A406)</f>
        <v>0.9893750501541132</v>
      </c>
      <c r="J406">
        <f t="shared" si="26"/>
        <v>-1.9376172733633679E-2</v>
      </c>
      <c r="K406">
        <f t="shared" si="27"/>
        <v>-0.70854536595733886</v>
      </c>
    </row>
    <row r="407" spans="1:11" x14ac:dyDescent="0.35">
      <c r="A407" s="1">
        <v>2014.75</v>
      </c>
      <c r="B407">
        <v>411.8</v>
      </c>
      <c r="C407" cm="1">
        <f t="array" ref="C407">TREND($B$2:$B$421, $A$2:$A$421, A407)</f>
        <v>434.37519371080452</v>
      </c>
      <c r="D407">
        <f t="shared" si="24"/>
        <v>-22.575193710804513</v>
      </c>
      <c r="E407">
        <f t="shared" si="25"/>
        <v>-0.15936783954595982</v>
      </c>
      <c r="G407" s="7">
        <v>2014.75</v>
      </c>
      <c r="H407">
        <v>0.9711743273842488</v>
      </c>
      <c r="I407" cm="1">
        <f t="array" ref="I407">TREND($H$2:$H$421, $A$2:$A$421, A407)</f>
        <v>0.98926607544482259</v>
      </c>
      <c r="J407">
        <f t="shared" si="26"/>
        <v>-1.8091748060573787E-2</v>
      </c>
      <c r="K407">
        <f t="shared" si="27"/>
        <v>-0.66157669146580156</v>
      </c>
    </row>
    <row r="408" spans="1:11" x14ac:dyDescent="0.35">
      <c r="A408" s="1">
        <v>2014.8333333333333</v>
      </c>
      <c r="B408">
        <v>496.8</v>
      </c>
      <c r="C408" cm="1">
        <f t="array" ref="C408">TREND($B$2:$B$421, $A$2:$A$421, A408)</f>
        <v>434.7450284612587</v>
      </c>
      <c r="D408">
        <f t="shared" si="24"/>
        <v>62.054971538741313</v>
      </c>
      <c r="E408">
        <f t="shared" si="25"/>
        <v>0.4380722873922121</v>
      </c>
      <c r="G408" s="7">
        <v>2014.8333333333333</v>
      </c>
      <c r="H408">
        <v>0.97460378688869509</v>
      </c>
      <c r="I408" cm="1">
        <f t="array" ref="I408">TREND($H$2:$H$421, $A$2:$A$421, A408)</f>
        <v>0.98915710073553198</v>
      </c>
      <c r="J408">
        <f t="shared" si="26"/>
        <v>-1.4553313846836891E-2</v>
      </c>
      <c r="K408">
        <f t="shared" si="27"/>
        <v>-0.53218368907291047</v>
      </c>
    </row>
    <row r="409" spans="1:11" x14ac:dyDescent="0.35">
      <c r="A409" s="1">
        <v>2014.9166666666665</v>
      </c>
      <c r="B409">
        <v>523.29999999999995</v>
      </c>
      <c r="C409" cm="1">
        <f t="array" ref="C409">TREND($B$2:$B$421, $A$2:$A$421, A409)</f>
        <v>435.11486321171287</v>
      </c>
      <c r="D409">
        <f t="shared" si="24"/>
        <v>88.185136788287082</v>
      </c>
      <c r="E409">
        <f t="shared" si="25"/>
        <v>0.62253617444208176</v>
      </c>
      <c r="G409" s="7">
        <v>2014.9166666666665</v>
      </c>
      <c r="H409">
        <v>0.97743105607116554</v>
      </c>
      <c r="I409" cm="1">
        <f t="array" ref="I409">TREND($H$2:$H$421, $A$2:$A$421, A409)</f>
        <v>0.98904812602624137</v>
      </c>
      <c r="J409">
        <f t="shared" si="26"/>
        <v>-1.1617069955075832E-2</v>
      </c>
      <c r="K409">
        <f t="shared" si="27"/>
        <v>-0.42481150409974067</v>
      </c>
    </row>
    <row r="410" spans="1:11" x14ac:dyDescent="0.35">
      <c r="A410" s="1">
        <v>2014.9999999999998</v>
      </c>
      <c r="B410">
        <v>295.3</v>
      </c>
      <c r="C410" cm="1">
        <f t="array" ref="C410">TREND($B$2:$B$421, $A$2:$A$421, A410)</f>
        <v>435.48469796216705</v>
      </c>
      <c r="D410">
        <f t="shared" si="24"/>
        <v>-140.18469796216704</v>
      </c>
      <c r="E410">
        <f t="shared" si="25"/>
        <v>-0.98962306759476204</v>
      </c>
      <c r="G410" s="7">
        <v>2015</v>
      </c>
      <c r="H410">
        <v>0.97424375901618143</v>
      </c>
      <c r="I410" cm="1">
        <f t="array" ref="I410">TREND($H$2:$H$421, $A$2:$A$421, A410)</f>
        <v>0.9889391513169512</v>
      </c>
      <c r="J410">
        <f t="shared" si="26"/>
        <v>-1.4695392300769772E-2</v>
      </c>
      <c r="K410">
        <f t="shared" si="27"/>
        <v>-0.53737919550859481</v>
      </c>
    </row>
    <row r="411" spans="1:11" x14ac:dyDescent="0.35">
      <c r="A411" s="1">
        <v>2015.083333333333</v>
      </c>
      <c r="B411">
        <v>220.7</v>
      </c>
      <c r="C411" cm="1">
        <f t="array" ref="C411">TREND($B$2:$B$421, $A$2:$A$421, A411)</f>
        <v>435.85453271262304</v>
      </c>
      <c r="D411">
        <f t="shared" si="24"/>
        <v>-215.15453271262305</v>
      </c>
      <c r="E411">
        <f t="shared" si="25"/>
        <v>-1.5188668361467392</v>
      </c>
      <c r="G411" s="7">
        <v>2015.0833333333301</v>
      </c>
      <c r="H411">
        <v>0.96550766980728508</v>
      </c>
      <c r="I411" cm="1">
        <f t="array" ref="I411">TREND($H$2:$H$421, $A$2:$A$421, A411)</f>
        <v>0.98883017660766059</v>
      </c>
      <c r="J411">
        <f t="shared" si="26"/>
        <v>-2.3322506800375509E-2</v>
      </c>
      <c r="K411">
        <f t="shared" si="27"/>
        <v>-0.85285439715501232</v>
      </c>
    </row>
    <row r="412" spans="1:11" x14ac:dyDescent="0.35">
      <c r="A412" s="1">
        <v>2015.1666666666665</v>
      </c>
      <c r="B412">
        <v>185.7</v>
      </c>
      <c r="C412" cm="1">
        <f t="array" ref="C412">TREND($B$2:$B$421, $A$2:$A$421, A412)</f>
        <v>436.22436746307903</v>
      </c>
      <c r="D412">
        <f t="shared" si="24"/>
        <v>-250.52436746307905</v>
      </c>
      <c r="E412">
        <f t="shared" si="25"/>
        <v>-1.7685574576974044</v>
      </c>
      <c r="G412" s="7">
        <v>2015.1666666666699</v>
      </c>
      <c r="H412">
        <v>0.95915638819960092</v>
      </c>
      <c r="I412" cm="1">
        <f t="array" ref="I412">TREND($H$2:$H$421, $A$2:$A$421, A412)</f>
        <v>0.98872120189836998</v>
      </c>
      <c r="J412">
        <f t="shared" si="26"/>
        <v>-2.9564813698769066E-2</v>
      </c>
      <c r="K412">
        <f t="shared" si="27"/>
        <v>-1.0811222644239038</v>
      </c>
    </row>
    <row r="413" spans="1:11" x14ac:dyDescent="0.35">
      <c r="A413" s="1">
        <v>2015.2499999999998</v>
      </c>
      <c r="B413">
        <v>255.8</v>
      </c>
      <c r="C413" cm="1">
        <f t="array" ref="C413">TREND($B$2:$B$421, $A$2:$A$421, A413)</f>
        <v>436.59420221353321</v>
      </c>
      <c r="D413">
        <f t="shared" si="24"/>
        <v>-180.7942022135332</v>
      </c>
      <c r="E413">
        <f t="shared" si="25"/>
        <v>-1.2763027320299278</v>
      </c>
      <c r="G413" s="7">
        <v>2015.25</v>
      </c>
      <c r="H413">
        <v>0.95664752295192845</v>
      </c>
      <c r="I413" cm="1">
        <f t="array" ref="I413">TREND($H$2:$H$421, $A$2:$A$421, A413)</f>
        <v>0.98861222718907937</v>
      </c>
      <c r="J413">
        <f t="shared" si="26"/>
        <v>-3.196470423715092E-2</v>
      </c>
      <c r="K413">
        <f t="shared" si="27"/>
        <v>-1.1688811496873306</v>
      </c>
    </row>
    <row r="414" spans="1:11" x14ac:dyDescent="0.35">
      <c r="A414" s="1">
        <v>2015.3333333333333</v>
      </c>
      <c r="B414">
        <v>283.8</v>
      </c>
      <c r="C414" cm="1">
        <f t="array" ref="C414">TREND($B$2:$B$421, $A$2:$A$421, A414)</f>
        <v>436.9640369639892</v>
      </c>
      <c r="D414">
        <f t="shared" si="24"/>
        <v>-153.16403696398919</v>
      </c>
      <c r="E414">
        <f t="shared" si="25"/>
        <v>-1.0812497106239602</v>
      </c>
      <c r="G414" s="7">
        <v>2015.3333333333301</v>
      </c>
      <c r="H414">
        <v>0.96119359220718326</v>
      </c>
      <c r="I414" cm="1">
        <f t="array" ref="I414">TREND($H$2:$H$421, $A$2:$A$421, A414)</f>
        <v>0.98850325247978876</v>
      </c>
      <c r="J414">
        <f t="shared" si="26"/>
        <v>-2.7309660272605507E-2</v>
      </c>
      <c r="K414">
        <f t="shared" si="27"/>
        <v>-0.998656107066763</v>
      </c>
    </row>
    <row r="415" spans="1:11" x14ac:dyDescent="0.35">
      <c r="A415" s="1">
        <v>2015.4166666666665</v>
      </c>
      <c r="B415">
        <v>328.8</v>
      </c>
      <c r="C415" cm="1">
        <f t="array" ref="C415">TREND($B$2:$B$421, $A$2:$A$421, A415)</f>
        <v>437.33387171444338</v>
      </c>
      <c r="D415">
        <f t="shared" si="24"/>
        <v>-108.53387171444336</v>
      </c>
      <c r="E415">
        <f t="shared" si="25"/>
        <v>-0.76618649984872977</v>
      </c>
      <c r="G415" s="7">
        <v>2015.4166666666699</v>
      </c>
      <c r="H415">
        <v>0.9657386209723835</v>
      </c>
      <c r="I415" cm="1">
        <f t="array" ref="I415">TREND($H$2:$H$421, $A$2:$A$421, A415)</f>
        <v>0.98839427777049815</v>
      </c>
      <c r="J415">
        <f t="shared" si="26"/>
        <v>-2.2655656798114654E-2</v>
      </c>
      <c r="K415">
        <f t="shared" si="27"/>
        <v>-0.8284691129512648</v>
      </c>
    </row>
    <row r="416" spans="1:11" x14ac:dyDescent="0.35">
      <c r="A416" s="1">
        <v>2015.4999999999998</v>
      </c>
      <c r="B416">
        <v>240.5</v>
      </c>
      <c r="C416" cm="1">
        <f t="array" ref="C416">TREND($B$2:$B$421, $A$2:$A$421, A416)</f>
        <v>437.70370646489755</v>
      </c>
      <c r="D416">
        <f t="shared" si="24"/>
        <v>-197.20370646489755</v>
      </c>
      <c r="E416">
        <f t="shared" si="25"/>
        <v>-1.3921443621865015</v>
      </c>
      <c r="G416" s="7">
        <v>2015.5</v>
      </c>
      <c r="H416">
        <v>0.97575970823852842</v>
      </c>
      <c r="I416" cm="1">
        <f t="array" ref="I416">TREND($H$2:$H$421, $A$2:$A$421, A416)</f>
        <v>0.98828530306120754</v>
      </c>
      <c r="J416">
        <f t="shared" si="26"/>
        <v>-1.252559482267912E-2</v>
      </c>
      <c r="K416">
        <f t="shared" si="27"/>
        <v>-0.45803432336579203</v>
      </c>
    </row>
    <row r="417" spans="1:11" x14ac:dyDescent="0.35">
      <c r="A417" s="1">
        <v>2015.5833333333333</v>
      </c>
      <c r="B417">
        <v>233.5</v>
      </c>
      <c r="C417" cm="1">
        <f t="array" ref="C417">TREND($B$2:$B$421, $A$2:$A$421, A417)</f>
        <v>438.07354121535354</v>
      </c>
      <c r="D417">
        <f t="shared" si="24"/>
        <v>-204.57354121535354</v>
      </c>
      <c r="E417">
        <f t="shared" si="25"/>
        <v>-1.4441711424231076</v>
      </c>
      <c r="G417" s="7">
        <v>2015.5833333333301</v>
      </c>
      <c r="H417">
        <v>0.98475894274801146</v>
      </c>
      <c r="I417" cm="1">
        <f t="array" ref="I417">TREND($H$2:$H$421, $A$2:$A$421, A417)</f>
        <v>0.98817632835191693</v>
      </c>
      <c r="J417">
        <f t="shared" si="26"/>
        <v>-3.4173856039054762E-3</v>
      </c>
      <c r="K417">
        <f t="shared" si="27"/>
        <v>-0.12496651256280668</v>
      </c>
    </row>
    <row r="418" spans="1:11" x14ac:dyDescent="0.35">
      <c r="A418" s="1">
        <v>2015.6666666666665</v>
      </c>
      <c r="B418">
        <v>242.4</v>
      </c>
      <c r="C418" cm="1">
        <f t="array" ref="C418">TREND($B$2:$B$421, $A$2:$A$421, A418)</f>
        <v>438.44337596580772</v>
      </c>
      <c r="D418">
        <f t="shared" si="24"/>
        <v>-196.04337596580771</v>
      </c>
      <c r="E418">
        <f t="shared" si="25"/>
        <v>-1.3839530984849315</v>
      </c>
      <c r="G418" s="7">
        <v>2015.6666666666699</v>
      </c>
      <c r="H418">
        <v>0.99554809601761418</v>
      </c>
      <c r="I418" cm="1">
        <f t="array" ref="I418">TREND($H$2:$H$421, $A$2:$A$421, A418)</f>
        <v>0.98806735364262677</v>
      </c>
      <c r="J418">
        <f t="shared" si="26"/>
        <v>7.4807423749874147E-3</v>
      </c>
      <c r="K418">
        <f t="shared" si="27"/>
        <v>0.27355481480184374</v>
      </c>
    </row>
    <row r="419" spans="1:11" x14ac:dyDescent="0.35">
      <c r="A419" s="1">
        <v>2015.7499999999998</v>
      </c>
      <c r="B419">
        <v>236.6</v>
      </c>
      <c r="C419" cm="1">
        <f t="array" ref="C419">TREND($B$2:$B$421, $A$2:$A$421, A419)</f>
        <v>438.81321071626371</v>
      </c>
      <c r="D419">
        <f t="shared" si="24"/>
        <v>-202.21321071626372</v>
      </c>
      <c r="E419">
        <f t="shared" si="25"/>
        <v>-1.4275085712366495</v>
      </c>
      <c r="G419" s="7">
        <v>2015.75</v>
      </c>
      <c r="H419">
        <v>1.0076579452774161</v>
      </c>
      <c r="I419" cm="1">
        <f t="array" ref="I419">TREND($H$2:$H$421, $A$2:$A$421, A419)</f>
        <v>0.98795837893333616</v>
      </c>
      <c r="J419">
        <f t="shared" si="26"/>
        <v>1.9699566344079988E-2</v>
      </c>
      <c r="K419">
        <f t="shared" si="27"/>
        <v>0.72037118146855761</v>
      </c>
    </row>
    <row r="420" spans="1:11" x14ac:dyDescent="0.35">
      <c r="A420" s="1">
        <v>2015.8333333333333</v>
      </c>
      <c r="B420">
        <v>327.5</v>
      </c>
      <c r="C420" cm="1">
        <f t="array" ref="C420">TREND($B$2:$B$421, $A$2:$A$421, A420)</f>
        <v>439.1830454667197</v>
      </c>
      <c r="D420">
        <f t="shared" si="24"/>
        <v>-111.6830454667197</v>
      </c>
      <c r="E420">
        <f t="shared" si="25"/>
        <v>-0.78841784916445656</v>
      </c>
      <c r="G420" s="7">
        <v>2015.8333333333301</v>
      </c>
      <c r="H420">
        <v>1.0189375839630663</v>
      </c>
      <c r="I420" cm="1">
        <f t="array" ref="I420">TREND($H$2:$H$421, $A$2:$A$421, A420)</f>
        <v>0.98784940422404555</v>
      </c>
      <c r="J420">
        <f t="shared" si="26"/>
        <v>3.1088179739020783E-2</v>
      </c>
      <c r="K420">
        <f t="shared" si="27"/>
        <v>1.1368285157726559</v>
      </c>
    </row>
    <row r="421" spans="1:11" x14ac:dyDescent="0.35">
      <c r="A421" s="1">
        <v>2015.9166666666665</v>
      </c>
      <c r="B421">
        <v>266.3</v>
      </c>
      <c r="C421" cm="1">
        <f t="array" ref="C421">TREND($B$2:$B$421, $A$2:$A$421, A421)</f>
        <v>439.55288021717388</v>
      </c>
      <c r="D421">
        <f t="shared" si="24"/>
        <v>-173.25288021717387</v>
      </c>
      <c r="E421">
        <f t="shared" si="25"/>
        <v>-1.2230653508018354</v>
      </c>
      <c r="G421" s="7">
        <v>2015.9166666666699</v>
      </c>
      <c r="H421">
        <v>1.0289074114997714</v>
      </c>
      <c r="I421" cm="1">
        <f t="array" ref="I421">TREND($H$2:$H$421, $A$2:$A$421, A421)</f>
        <v>0.98774042951475494</v>
      </c>
      <c r="J421">
        <f t="shared" si="26"/>
        <v>4.1166981985016449E-2</v>
      </c>
      <c r="K421">
        <f t="shared" si="27"/>
        <v>1.5053888462348468</v>
      </c>
    </row>
  </sheetData>
  <autoFilter ref="G1:H1" xr:uid="{46D45EA8-3D30-4A61-AF3F-9817F7217FE4}">
    <sortState xmlns:xlrd2="http://schemas.microsoft.com/office/spreadsheetml/2017/richdata2" ref="G2:H433">
      <sortCondition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G-B correl BETO</vt:lpstr>
      <vt:lpstr>G-B NEW</vt:lpstr>
      <vt:lpstr>Detrend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RAMIREZ, Alberto (erodr11)</dc:creator>
  <cp:lastModifiedBy>RODRIGUEZ RAMIREZ, Alberto (erodr11)</cp:lastModifiedBy>
  <dcterms:created xsi:type="dcterms:W3CDTF">2025-12-02T11:29:49Z</dcterms:created>
  <dcterms:modified xsi:type="dcterms:W3CDTF">2025-12-02T13:41:54Z</dcterms:modified>
</cp:coreProperties>
</file>